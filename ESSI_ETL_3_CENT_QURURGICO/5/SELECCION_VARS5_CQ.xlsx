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UGAD.INGENIERIA1\Documents\UGAD\TEAM\CARPETAS PERSONALES\ARI\CENTRO_QUIRU1\5\"/>
    </mc:Choice>
  </mc:AlternateContent>
  <xr:revisionPtr revIDLastSave="0" documentId="13_ncr:1_{5F2ADBC8-FCDC-479F-B079-9E7DA0522FA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SSI" sheetId="1" r:id="rId1"/>
    <sheet name="DAT" sheetId="2" r:id="rId2"/>
    <sheet name="CC" sheetId="4" r:id="rId3"/>
  </sheets>
  <definedNames>
    <definedName name="_xlnm._FilterDatabase" localSheetId="1" hidden="1">DAT!$A$1:$E$19</definedName>
    <definedName name="_xlnm._FilterDatabase" localSheetId="0" hidden="1">ESSI!$A$1:$B$18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3" i="4"/>
  <c r="B3" i="4"/>
  <c r="B4" i="4"/>
  <c r="B5" i="4"/>
  <c r="B6" i="4"/>
  <c r="B7" i="4"/>
  <c r="B8" i="4"/>
  <c r="B9" i="4"/>
  <c r="B10" i="4"/>
  <c r="B11" i="4"/>
  <c r="B12" i="4"/>
  <c r="B13" i="4"/>
  <c r="B2" i="4"/>
</calcChain>
</file>

<file path=xl/sharedStrings.xml><?xml version="1.0" encoding="utf-8"?>
<sst xmlns="http://schemas.openxmlformats.org/spreadsheetml/2006/main" count="185" uniqueCount="67">
  <si>
    <t>COLUMNA</t>
  </si>
  <si>
    <t>FUENTE</t>
  </si>
  <si>
    <t>LLAVE EN TABLA</t>
  </si>
  <si>
    <t>LLAVE EN DIM</t>
  </si>
  <si>
    <t>ori_cas</t>
  </si>
  <si>
    <t>cod_cas</t>
  </si>
  <si>
    <t>des_cas</t>
  </si>
  <si>
    <t>cod_red</t>
  </si>
  <si>
    <t>des_red</t>
  </si>
  <si>
    <t>sol_fec</t>
  </si>
  <si>
    <t>pac_sec</t>
  </si>
  <si>
    <t>id_oricas</t>
  </si>
  <si>
    <t>id_cas</t>
  </si>
  <si>
    <t>id_red</t>
  </si>
  <si>
    <t>DIM ORICAS</t>
  </si>
  <si>
    <t>DIM CAS</t>
  </si>
  <si>
    <t>DIM TIEMPO</t>
  </si>
  <si>
    <t>DIM RED</t>
  </si>
  <si>
    <t>sol_num</t>
  </si>
  <si>
    <t>id_time_sol</t>
  </si>
  <si>
    <t>id_ano_sol</t>
  </si>
  <si>
    <t>id_mes_sol</t>
  </si>
  <si>
    <t>id_dia_sol</t>
  </si>
  <si>
    <t>id_diasem_sol</t>
  </si>
  <si>
    <t>id_sem_sol</t>
  </si>
  <si>
    <t>id_pacsec</t>
  </si>
  <si>
    <t xml:space="preserve">dim_pacsec </t>
  </si>
  <si>
    <t>sec_num</t>
  </si>
  <si>
    <t>act_med</t>
  </si>
  <si>
    <t>cod_cps</t>
  </si>
  <si>
    <t>cps_ori</t>
  </si>
  <si>
    <t>cps_cas</t>
  </si>
  <si>
    <t>cps_are</t>
  </si>
  <si>
    <t>des_are</t>
  </si>
  <si>
    <t>cps_ser</t>
  </si>
  <si>
    <t>des_ser</t>
  </si>
  <si>
    <t>id_cps</t>
  </si>
  <si>
    <t>id_cpsori</t>
  </si>
  <si>
    <t>id_cpscas</t>
  </si>
  <si>
    <t>id_cpsare</t>
  </si>
  <si>
    <t>id_cpsser</t>
  </si>
  <si>
    <t>dim_areas</t>
  </si>
  <si>
    <t>dim_servicios</t>
  </si>
  <si>
    <t>dim_cps</t>
  </si>
  <si>
    <t>dim_oricas</t>
  </si>
  <si>
    <t>dim_cas</t>
  </si>
  <si>
    <t>infopeoricenasicod</t>
  </si>
  <si>
    <t>non-null</t>
  </si>
  <si>
    <t>object</t>
  </si>
  <si>
    <t>infopecenasicod</t>
  </si>
  <si>
    <t>infopesolopenum</t>
  </si>
  <si>
    <t>int64</t>
  </si>
  <si>
    <t>infopesecnum</t>
  </si>
  <si>
    <t>infopecpscod</t>
  </si>
  <si>
    <t>infopecpsoricenasicod</t>
  </si>
  <si>
    <t>infopecpscenasicod</t>
  </si>
  <si>
    <t>infopecpsarehoscod</t>
  </si>
  <si>
    <t>infopecpsservhoscod</t>
  </si>
  <si>
    <t>solopefec</t>
  </si>
  <si>
    <t>datetime64[ns]</t>
  </si>
  <si>
    <t>solopeactmednum</t>
  </si>
  <si>
    <t>solopebuspacsecnum</t>
  </si>
  <si>
    <t>Llave</t>
  </si>
  <si>
    <t>Count</t>
  </si>
  <si>
    <t>Type</t>
  </si>
  <si>
    <t>Name</t>
  </si>
  <si>
    <t>dim cas-red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</si>
</sst>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20.85546875" customWidth="1"/>
    <col min="2" max="2" width="25.28515625" customWidth="1"/>
  </cols>
  <sheetData>
    <row r="1" spans="1:3" x14ac:dyDescent="0.25">
      <c r="A1" s="1" t="s">
        <v>0</v>
      </c>
      <c r="B1" s="1" t="s">
        <v>1</v>
      </c>
      <c r="C1" s="3"/>
    </row>
    <row r="2" spans="1:3" x14ac:dyDescent="0.25">
      <c r="A2" t="s">
        <v>4</v>
      </c>
      <c r="B2" t="s">
        <v>46</v>
      </c>
      <c r="C2" t="s">
        <v>4</v>
      </c>
    </row>
    <row r="3" spans="1:3" x14ac:dyDescent="0.25">
      <c r="A3" t="s">
        <v>5</v>
      </c>
      <c r="B3" t="s">
        <v>49</v>
      </c>
      <c r="C3" t="s">
        <v>5</v>
      </c>
    </row>
    <row r="4" spans="1:3" x14ac:dyDescent="0.25">
      <c r="A4" t="s">
        <v>6</v>
      </c>
      <c r="B4" s="4" t="s">
        <v>66</v>
      </c>
      <c r="C4" t="s">
        <v>6</v>
      </c>
    </row>
    <row r="5" spans="1:3" x14ac:dyDescent="0.25">
      <c r="A5" t="s">
        <v>7</v>
      </c>
      <c r="B5" s="4" t="s">
        <v>66</v>
      </c>
      <c r="C5" t="s">
        <v>7</v>
      </c>
    </row>
    <row r="6" spans="1:3" x14ac:dyDescent="0.25">
      <c r="A6" t="s">
        <v>8</v>
      </c>
      <c r="B6" s="4" t="s">
        <v>66</v>
      </c>
      <c r="C6" t="s">
        <v>8</v>
      </c>
    </row>
    <row r="7" spans="1:3" x14ac:dyDescent="0.25">
      <c r="A7" t="s">
        <v>18</v>
      </c>
      <c r="B7" t="s">
        <v>50</v>
      </c>
      <c r="C7" t="s">
        <v>18</v>
      </c>
    </row>
    <row r="8" spans="1:3" x14ac:dyDescent="0.25">
      <c r="A8" t="s">
        <v>27</v>
      </c>
      <c r="B8" t="s">
        <v>52</v>
      </c>
      <c r="C8" t="s">
        <v>27</v>
      </c>
    </row>
    <row r="9" spans="1:3" x14ac:dyDescent="0.25">
      <c r="A9" t="s">
        <v>29</v>
      </c>
      <c r="B9" t="s">
        <v>53</v>
      </c>
      <c r="C9" t="s">
        <v>29</v>
      </c>
    </row>
    <row r="10" spans="1:3" x14ac:dyDescent="0.25">
      <c r="A10" t="s">
        <v>30</v>
      </c>
      <c r="B10" t="s">
        <v>54</v>
      </c>
      <c r="C10" t="s">
        <v>30</v>
      </c>
    </row>
    <row r="11" spans="1:3" x14ac:dyDescent="0.25">
      <c r="A11" t="s">
        <v>31</v>
      </c>
      <c r="B11" t="s">
        <v>55</v>
      </c>
      <c r="C11" t="s">
        <v>31</v>
      </c>
    </row>
    <row r="12" spans="1:3" x14ac:dyDescent="0.25">
      <c r="A12" t="s">
        <v>32</v>
      </c>
      <c r="B12" t="s">
        <v>56</v>
      </c>
      <c r="C12" t="s">
        <v>32</v>
      </c>
    </row>
    <row r="13" spans="1:3" x14ac:dyDescent="0.25">
      <c r="A13" t="s">
        <v>33</v>
      </c>
      <c r="B13" s="2" t="s">
        <v>41</v>
      </c>
      <c r="C13" t="s">
        <v>33</v>
      </c>
    </row>
    <row r="14" spans="1:3" x14ac:dyDescent="0.25">
      <c r="A14" t="s">
        <v>34</v>
      </c>
      <c r="B14" t="s">
        <v>57</v>
      </c>
      <c r="C14" t="s">
        <v>34</v>
      </c>
    </row>
    <row r="15" spans="1:3" x14ac:dyDescent="0.25">
      <c r="A15" t="s">
        <v>35</v>
      </c>
      <c r="B15" s="2" t="s">
        <v>42</v>
      </c>
      <c r="C15" t="s">
        <v>35</v>
      </c>
    </row>
    <row r="16" spans="1:3" x14ac:dyDescent="0.25">
      <c r="A16" t="s">
        <v>9</v>
      </c>
      <c r="B16" t="s">
        <v>58</v>
      </c>
      <c r="C16" t="s">
        <v>9</v>
      </c>
    </row>
    <row r="17" spans="1:3" x14ac:dyDescent="0.25">
      <c r="A17" t="s">
        <v>28</v>
      </c>
      <c r="B17" t="s">
        <v>60</v>
      </c>
      <c r="C17" t="s">
        <v>28</v>
      </c>
    </row>
    <row r="18" spans="1:3" x14ac:dyDescent="0.25">
      <c r="A18" t="s">
        <v>10</v>
      </c>
      <c r="B18" t="s">
        <v>61</v>
      </c>
      <c r="C18" t="s">
        <v>10</v>
      </c>
    </row>
  </sheetData>
  <autoFilter ref="A1:B18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D67B-7509-48EE-9D14-0D50757C15A4}">
  <dimension ref="A1:E20"/>
  <sheetViews>
    <sheetView workbookViewId="0">
      <selection activeCell="A10" sqref="A10"/>
    </sheetView>
  </sheetViews>
  <sheetFormatPr baseColWidth="10" defaultRowHeight="15" x14ac:dyDescent="0.25"/>
  <cols>
    <col min="1" max="3" width="18.42578125" customWidth="1"/>
    <col min="4" max="4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11</v>
      </c>
      <c r="B2" s="5" t="s">
        <v>14</v>
      </c>
      <c r="C2" t="s">
        <v>4</v>
      </c>
      <c r="E2" t="s">
        <v>6</v>
      </c>
    </row>
    <row r="3" spans="1:5" x14ac:dyDescent="0.25">
      <c r="A3" t="s">
        <v>12</v>
      </c>
      <c r="B3" s="5" t="s">
        <v>15</v>
      </c>
      <c r="C3" t="s">
        <v>5</v>
      </c>
      <c r="E3" t="s">
        <v>8</v>
      </c>
    </row>
    <row r="4" spans="1:5" x14ac:dyDescent="0.25">
      <c r="A4" t="s">
        <v>13</v>
      </c>
      <c r="B4" s="5" t="s">
        <v>17</v>
      </c>
      <c r="C4" t="s">
        <v>7</v>
      </c>
      <c r="E4" t="s">
        <v>33</v>
      </c>
    </row>
    <row r="5" spans="1:5" x14ac:dyDescent="0.25">
      <c r="A5" t="s">
        <v>18</v>
      </c>
      <c r="B5" t="s">
        <v>18</v>
      </c>
      <c r="E5" t="s">
        <v>35</v>
      </c>
    </row>
    <row r="6" spans="1:5" x14ac:dyDescent="0.25">
      <c r="A6" t="s">
        <v>27</v>
      </c>
      <c r="B6" t="s">
        <v>27</v>
      </c>
    </row>
    <row r="7" spans="1:5" x14ac:dyDescent="0.25">
      <c r="A7" t="s">
        <v>36</v>
      </c>
      <c r="B7" s="6" t="s">
        <v>43</v>
      </c>
      <c r="C7" t="s">
        <v>29</v>
      </c>
    </row>
    <row r="8" spans="1:5" x14ac:dyDescent="0.25">
      <c r="A8" t="s">
        <v>37</v>
      </c>
      <c r="B8" s="6" t="s">
        <v>44</v>
      </c>
      <c r="C8" t="s">
        <v>30</v>
      </c>
    </row>
    <row r="9" spans="1:5" x14ac:dyDescent="0.25">
      <c r="A9" t="s">
        <v>38</v>
      </c>
      <c r="B9" s="6" t="s">
        <v>45</v>
      </c>
      <c r="C9" t="s">
        <v>31</v>
      </c>
    </row>
    <row r="10" spans="1:5" x14ac:dyDescent="0.25">
      <c r="A10" t="s">
        <v>39</v>
      </c>
      <c r="B10" s="6" t="s">
        <v>41</v>
      </c>
      <c r="C10" t="s">
        <v>32</v>
      </c>
    </row>
    <row r="11" spans="1:5" x14ac:dyDescent="0.25">
      <c r="A11" t="s">
        <v>40</v>
      </c>
      <c r="B11" s="6" t="s">
        <v>42</v>
      </c>
      <c r="C11" t="s">
        <v>34</v>
      </c>
    </row>
    <row r="12" spans="1:5" x14ac:dyDescent="0.25">
      <c r="A12" t="s">
        <v>9</v>
      </c>
      <c r="B12" t="s">
        <v>9</v>
      </c>
    </row>
    <row r="13" spans="1:5" x14ac:dyDescent="0.25">
      <c r="A13" t="s">
        <v>19</v>
      </c>
      <c r="B13" s="2" t="s">
        <v>16</v>
      </c>
    </row>
    <row r="14" spans="1:5" x14ac:dyDescent="0.25">
      <c r="A14" t="s">
        <v>20</v>
      </c>
      <c r="B14" s="2" t="s">
        <v>16</v>
      </c>
    </row>
    <row r="15" spans="1:5" x14ac:dyDescent="0.25">
      <c r="A15" t="s">
        <v>21</v>
      </c>
      <c r="B15" s="2" t="s">
        <v>16</v>
      </c>
    </row>
    <row r="16" spans="1:5" x14ac:dyDescent="0.25">
      <c r="A16" t="s">
        <v>22</v>
      </c>
      <c r="B16" s="2" t="s">
        <v>16</v>
      </c>
    </row>
    <row r="17" spans="1:3" x14ac:dyDescent="0.25">
      <c r="A17" t="s">
        <v>23</v>
      </c>
      <c r="B17" s="2" t="s">
        <v>16</v>
      </c>
    </row>
    <row r="18" spans="1:3" x14ac:dyDescent="0.25">
      <c r="A18" t="s">
        <v>24</v>
      </c>
      <c r="B18" s="2" t="s">
        <v>16</v>
      </c>
    </row>
    <row r="19" spans="1:3" x14ac:dyDescent="0.25">
      <c r="A19" t="s">
        <v>28</v>
      </c>
      <c r="B19" t="s">
        <v>28</v>
      </c>
    </row>
    <row r="20" spans="1:3" x14ac:dyDescent="0.25">
      <c r="A20" t="s">
        <v>25</v>
      </c>
      <c r="B20" s="2" t="s">
        <v>26</v>
      </c>
      <c r="C20" t="s">
        <v>10</v>
      </c>
    </row>
  </sheetData>
  <autoFilter ref="A1:E19" xr:uid="{8742D67B-7509-48EE-9D14-0D50757C15A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9E67-A2EB-4821-B85A-8AB1AB0FC8A0}">
  <dimension ref="A1:L21"/>
  <sheetViews>
    <sheetView tabSelected="1" workbookViewId="0">
      <selection activeCell="M8" sqref="M8"/>
    </sheetView>
  </sheetViews>
  <sheetFormatPr baseColWidth="10" defaultRowHeight="15" x14ac:dyDescent="0.25"/>
  <cols>
    <col min="1" max="1" width="21" bestFit="1" customWidth="1"/>
    <col min="5" max="5" width="18" customWidth="1"/>
  </cols>
  <sheetData>
    <row r="1" spans="1:12" x14ac:dyDescent="0.25">
      <c r="A1" s="7" t="s">
        <v>65</v>
      </c>
      <c r="B1" s="7" t="s">
        <v>62</v>
      </c>
      <c r="C1" s="7" t="s">
        <v>63</v>
      </c>
      <c r="D1" s="7" t="s">
        <v>47</v>
      </c>
      <c r="E1" s="7" t="s">
        <v>64</v>
      </c>
    </row>
    <row r="2" spans="1:12" x14ac:dyDescent="0.25">
      <c r="A2" t="s">
        <v>46</v>
      </c>
      <c r="B2" t="str">
        <f>VLOOKUP(A2,ESSI!B1:$C$18,2,0)</f>
        <v>ori_cas</v>
      </c>
      <c r="C2">
        <v>46606</v>
      </c>
      <c r="D2" t="s">
        <v>47</v>
      </c>
      <c r="E2" t="s">
        <v>48</v>
      </c>
      <c r="F2" t="s">
        <v>33</v>
      </c>
      <c r="G2">
        <v>0</v>
      </c>
    </row>
    <row r="3" spans="1:12" x14ac:dyDescent="0.25">
      <c r="A3" t="s">
        <v>49</v>
      </c>
      <c r="B3" t="str">
        <f>VLOOKUP(A3,ESSI!B2:$C$18,2,0)</f>
        <v>cod_cas</v>
      </c>
      <c r="C3">
        <v>46606</v>
      </c>
      <c r="D3" t="s">
        <v>47</v>
      </c>
      <c r="E3" t="s">
        <v>48</v>
      </c>
      <c r="F3" t="s">
        <v>4</v>
      </c>
      <c r="G3">
        <v>46615</v>
      </c>
      <c r="I3" t="s">
        <v>37</v>
      </c>
      <c r="J3">
        <v>0</v>
      </c>
      <c r="K3" t="str">
        <f>VLOOKUP(I3,DAT!A:C,3,0)</f>
        <v>cps_ori</v>
      </c>
      <c r="L3">
        <f>VLOOKUP(K3,F:G,2,0)</f>
        <v>0</v>
      </c>
    </row>
    <row r="4" spans="1:12" x14ac:dyDescent="0.25">
      <c r="A4" t="s">
        <v>50</v>
      </c>
      <c r="B4" t="str">
        <f>VLOOKUP(A4,ESSI!B3:$C$18,2,0)</f>
        <v>sol_num</v>
      </c>
      <c r="C4">
        <v>46606</v>
      </c>
      <c r="D4" t="s">
        <v>47</v>
      </c>
      <c r="E4" t="s">
        <v>51</v>
      </c>
      <c r="F4" t="s">
        <v>27</v>
      </c>
      <c r="G4">
        <v>46615</v>
      </c>
      <c r="I4" t="s">
        <v>22</v>
      </c>
      <c r="J4">
        <v>46614</v>
      </c>
      <c r="K4">
        <f>VLOOKUP(I4,DAT!A:C,3,0)</f>
        <v>0</v>
      </c>
      <c r="L4" t="e">
        <f t="shared" ref="L4:L21" si="0">VLOOKUP(K4,F:G,2,0)</f>
        <v>#N/A</v>
      </c>
    </row>
    <row r="5" spans="1:12" x14ac:dyDescent="0.25">
      <c r="A5" t="s">
        <v>52</v>
      </c>
      <c r="B5" t="str">
        <f>VLOOKUP(A5,ESSI!B4:$C$18,2,0)</f>
        <v>sec_num</v>
      </c>
      <c r="C5">
        <v>46606</v>
      </c>
      <c r="D5" t="s">
        <v>47</v>
      </c>
      <c r="E5" t="s">
        <v>51</v>
      </c>
      <c r="F5" t="s">
        <v>5</v>
      </c>
      <c r="G5">
        <v>46615</v>
      </c>
      <c r="I5" t="s">
        <v>19</v>
      </c>
      <c r="J5">
        <v>46614</v>
      </c>
      <c r="K5">
        <f>VLOOKUP(I5,DAT!A:C,3,0)</f>
        <v>0</v>
      </c>
      <c r="L5" t="e">
        <f t="shared" si="0"/>
        <v>#N/A</v>
      </c>
    </row>
    <row r="6" spans="1:12" x14ac:dyDescent="0.25">
      <c r="A6" t="s">
        <v>53</v>
      </c>
      <c r="B6" t="str">
        <f>VLOOKUP(A6,ESSI!B5:$C$18,2,0)</f>
        <v>cod_cps</v>
      </c>
      <c r="C6">
        <v>46606</v>
      </c>
      <c r="D6" t="s">
        <v>47</v>
      </c>
      <c r="E6" t="s">
        <v>48</v>
      </c>
      <c r="F6" t="s">
        <v>8</v>
      </c>
      <c r="G6">
        <v>46615</v>
      </c>
      <c r="I6" t="s">
        <v>39</v>
      </c>
      <c r="J6">
        <v>0</v>
      </c>
      <c r="K6" t="str">
        <f>VLOOKUP(I6,DAT!A:C,3,0)</f>
        <v>cps_are</v>
      </c>
      <c r="L6">
        <f t="shared" si="0"/>
        <v>0</v>
      </c>
    </row>
    <row r="7" spans="1:12" x14ac:dyDescent="0.25">
      <c r="A7" t="s">
        <v>54</v>
      </c>
      <c r="B7" t="str">
        <f>VLOOKUP(A7,ESSI!B6:$C$18,2,0)</f>
        <v>cps_ori</v>
      </c>
      <c r="C7">
        <v>0</v>
      </c>
      <c r="D7" t="s">
        <v>47</v>
      </c>
      <c r="E7" t="s">
        <v>48</v>
      </c>
      <c r="F7" t="s">
        <v>30</v>
      </c>
      <c r="G7">
        <v>0</v>
      </c>
      <c r="I7" t="s">
        <v>25</v>
      </c>
      <c r="J7">
        <v>45775</v>
      </c>
      <c r="K7" t="str">
        <f>VLOOKUP(I7,DAT!A:C,3,0)</f>
        <v>pac_sec</v>
      </c>
      <c r="L7">
        <f t="shared" si="0"/>
        <v>46615</v>
      </c>
    </row>
    <row r="8" spans="1:12" x14ac:dyDescent="0.25">
      <c r="A8" t="s">
        <v>55</v>
      </c>
      <c r="B8" t="str">
        <f>VLOOKUP(A8,ESSI!B7:$C$18,2,0)</f>
        <v>cps_cas</v>
      </c>
      <c r="C8">
        <v>0</v>
      </c>
      <c r="D8" t="s">
        <v>47</v>
      </c>
      <c r="E8" t="s">
        <v>48</v>
      </c>
      <c r="F8" t="s">
        <v>29</v>
      </c>
      <c r="G8">
        <v>46615</v>
      </c>
      <c r="I8" t="s">
        <v>38</v>
      </c>
      <c r="J8">
        <v>0</v>
      </c>
      <c r="K8" t="str">
        <f>VLOOKUP(I8,DAT!A:C,3,0)</f>
        <v>cps_cas</v>
      </c>
      <c r="L8">
        <f t="shared" si="0"/>
        <v>0</v>
      </c>
    </row>
    <row r="9" spans="1:12" x14ac:dyDescent="0.25">
      <c r="A9" t="s">
        <v>56</v>
      </c>
      <c r="B9" t="str">
        <f>VLOOKUP(A9,ESSI!B8:$C$18,2,0)</f>
        <v>cps_are</v>
      </c>
      <c r="C9">
        <v>0</v>
      </c>
      <c r="D9" t="s">
        <v>47</v>
      </c>
      <c r="E9" t="s">
        <v>48</v>
      </c>
      <c r="F9" t="s">
        <v>9</v>
      </c>
      <c r="G9">
        <v>46615</v>
      </c>
      <c r="I9" t="s">
        <v>21</v>
      </c>
      <c r="J9">
        <v>46614</v>
      </c>
      <c r="K9">
        <f>VLOOKUP(I9,DAT!A:C,3,0)</f>
        <v>0</v>
      </c>
      <c r="L9" t="e">
        <f t="shared" si="0"/>
        <v>#N/A</v>
      </c>
    </row>
    <row r="10" spans="1:12" x14ac:dyDescent="0.25">
      <c r="A10" t="s">
        <v>57</v>
      </c>
      <c r="B10" t="str">
        <f>VLOOKUP(A10,ESSI!B9:$C$18,2,0)</f>
        <v>cps_ser</v>
      </c>
      <c r="C10">
        <v>0</v>
      </c>
      <c r="D10" t="s">
        <v>47</v>
      </c>
      <c r="E10" t="s">
        <v>48</v>
      </c>
      <c r="F10" t="s">
        <v>28</v>
      </c>
      <c r="G10">
        <v>46615</v>
      </c>
      <c r="I10" t="s">
        <v>40</v>
      </c>
      <c r="J10">
        <v>0</v>
      </c>
      <c r="K10" t="str">
        <f>VLOOKUP(I10,DAT!A:C,3,0)</f>
        <v>cps_ser</v>
      </c>
      <c r="L10">
        <f t="shared" si="0"/>
        <v>0</v>
      </c>
    </row>
    <row r="11" spans="1:12" x14ac:dyDescent="0.25">
      <c r="A11" t="s">
        <v>58</v>
      </c>
      <c r="B11" t="str">
        <f>VLOOKUP(A11,ESSI!B10:$C$18,2,0)</f>
        <v>sol_fec</v>
      </c>
      <c r="C11">
        <v>46606</v>
      </c>
      <c r="D11" t="s">
        <v>47</v>
      </c>
      <c r="E11" t="s">
        <v>59</v>
      </c>
      <c r="F11" t="s">
        <v>31</v>
      </c>
      <c r="G11">
        <v>0</v>
      </c>
      <c r="I11" t="s">
        <v>27</v>
      </c>
      <c r="J11">
        <v>46615</v>
      </c>
      <c r="K11">
        <f>VLOOKUP(I11,DAT!A:C,3,0)</f>
        <v>0</v>
      </c>
      <c r="L11" t="e">
        <f t="shared" si="0"/>
        <v>#N/A</v>
      </c>
    </row>
    <row r="12" spans="1:12" x14ac:dyDescent="0.25">
      <c r="A12" t="s">
        <v>60</v>
      </c>
      <c r="B12" t="str">
        <f>VLOOKUP(A12,ESSI!B11:$C$18,2,0)</f>
        <v>act_med</v>
      </c>
      <c r="C12">
        <v>46606</v>
      </c>
      <c r="D12" t="s">
        <v>47</v>
      </c>
      <c r="E12" t="s">
        <v>51</v>
      </c>
      <c r="F12" t="s">
        <v>32</v>
      </c>
      <c r="G12">
        <v>0</v>
      </c>
      <c r="I12" t="s">
        <v>23</v>
      </c>
      <c r="J12">
        <v>46614</v>
      </c>
      <c r="K12">
        <f>VLOOKUP(I12,DAT!A:C,3,0)</f>
        <v>0</v>
      </c>
      <c r="L12" t="e">
        <f t="shared" si="0"/>
        <v>#N/A</v>
      </c>
    </row>
    <row r="13" spans="1:12" x14ac:dyDescent="0.25">
      <c r="A13" t="s">
        <v>61</v>
      </c>
      <c r="B13" t="str">
        <f>VLOOKUP(A13,ESSI!B12:$C$18,2,0)</f>
        <v>pac_sec</v>
      </c>
      <c r="C13">
        <v>46606</v>
      </c>
      <c r="D13" t="s">
        <v>47</v>
      </c>
      <c r="E13" t="s">
        <v>51</v>
      </c>
      <c r="F13" t="s">
        <v>35</v>
      </c>
      <c r="G13">
        <v>0</v>
      </c>
      <c r="I13" t="s">
        <v>13</v>
      </c>
      <c r="J13">
        <v>46615</v>
      </c>
      <c r="K13" t="str">
        <f>VLOOKUP(I13,DAT!A:C,3,0)</f>
        <v>cod_red</v>
      </c>
      <c r="L13">
        <f t="shared" si="0"/>
        <v>46615</v>
      </c>
    </row>
    <row r="14" spans="1:12" x14ac:dyDescent="0.25">
      <c r="F14" t="s">
        <v>10</v>
      </c>
      <c r="G14">
        <v>46615</v>
      </c>
      <c r="I14" t="s">
        <v>36</v>
      </c>
      <c r="J14">
        <v>46615</v>
      </c>
      <c r="K14" t="str">
        <f>VLOOKUP(I14,DAT!A:C,3,0)</f>
        <v>cod_cps</v>
      </c>
      <c r="L14">
        <f t="shared" si="0"/>
        <v>46615</v>
      </c>
    </row>
    <row r="15" spans="1:12" x14ac:dyDescent="0.25">
      <c r="F15" t="s">
        <v>34</v>
      </c>
      <c r="G15">
        <v>0</v>
      </c>
      <c r="I15" t="s">
        <v>28</v>
      </c>
      <c r="J15">
        <v>46615</v>
      </c>
      <c r="K15">
        <f>VLOOKUP(I15,DAT!A:C,3,0)</f>
        <v>0</v>
      </c>
      <c r="L15" t="e">
        <f t="shared" si="0"/>
        <v>#N/A</v>
      </c>
    </row>
    <row r="16" spans="1:12" x14ac:dyDescent="0.25">
      <c r="F16" t="s">
        <v>6</v>
      </c>
      <c r="G16">
        <v>46615</v>
      </c>
      <c r="I16" t="s">
        <v>18</v>
      </c>
      <c r="J16">
        <v>46615</v>
      </c>
      <c r="K16">
        <f>VLOOKUP(I16,DAT!A:C,3,0)</f>
        <v>0</v>
      </c>
      <c r="L16" t="e">
        <f t="shared" si="0"/>
        <v>#N/A</v>
      </c>
    </row>
    <row r="17" spans="6:12" x14ac:dyDescent="0.25">
      <c r="F17" t="s">
        <v>7</v>
      </c>
      <c r="G17">
        <v>46615</v>
      </c>
      <c r="I17" t="s">
        <v>12</v>
      </c>
      <c r="J17">
        <v>46615</v>
      </c>
      <c r="K17" t="str">
        <f>VLOOKUP(I17,DAT!A:C,3,0)</f>
        <v>cod_cas</v>
      </c>
      <c r="L17">
        <f t="shared" si="0"/>
        <v>46615</v>
      </c>
    </row>
    <row r="18" spans="6:12" x14ac:dyDescent="0.25">
      <c r="F18" t="s">
        <v>18</v>
      </c>
      <c r="G18">
        <v>46615</v>
      </c>
      <c r="I18" t="s">
        <v>11</v>
      </c>
      <c r="J18">
        <v>46615</v>
      </c>
      <c r="K18" t="str">
        <f>VLOOKUP(I18,DAT!A:C,3,0)</f>
        <v>ori_cas</v>
      </c>
      <c r="L18">
        <f t="shared" si="0"/>
        <v>46615</v>
      </c>
    </row>
    <row r="19" spans="6:12" x14ac:dyDescent="0.25">
      <c r="I19" t="s">
        <v>9</v>
      </c>
      <c r="J19">
        <v>46615</v>
      </c>
      <c r="K19">
        <f>VLOOKUP(I19,DAT!A:C,3,0)</f>
        <v>0</v>
      </c>
      <c r="L19" t="e">
        <f t="shared" si="0"/>
        <v>#N/A</v>
      </c>
    </row>
    <row r="20" spans="6:12" x14ac:dyDescent="0.25">
      <c r="I20" t="s">
        <v>24</v>
      </c>
      <c r="J20">
        <v>46614</v>
      </c>
      <c r="K20">
        <f>VLOOKUP(I20,DAT!A:C,3,0)</f>
        <v>0</v>
      </c>
      <c r="L20" t="e">
        <f t="shared" si="0"/>
        <v>#N/A</v>
      </c>
    </row>
    <row r="21" spans="6:12" x14ac:dyDescent="0.25">
      <c r="I21" t="s">
        <v>20</v>
      </c>
      <c r="J21">
        <v>46614</v>
      </c>
      <c r="K21">
        <f>VLOOKUP(I21,DAT!A:C,3,0)</f>
        <v>0</v>
      </c>
      <c r="L21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ESSI</vt:lpstr>
      <vt:lpstr>DAT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1</dc:creator>
  <cp:lastModifiedBy>UGAD - INGENIERIA 1</cp:lastModifiedBy>
  <dcterms:created xsi:type="dcterms:W3CDTF">2015-06-05T18:19:34Z</dcterms:created>
  <dcterms:modified xsi:type="dcterms:W3CDTF">2023-06-27T21:47:36Z</dcterms:modified>
</cp:coreProperties>
</file>