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UGAD.INGENIERIA1\Documents\UGAD\TEAM\CARPETAS PERSONALES\ARI\CENTRO_QUIRU1\6\"/>
    </mc:Choice>
  </mc:AlternateContent>
  <xr:revisionPtr revIDLastSave="0" documentId="13_ncr:1_{2DF57697-5D17-4307-80B4-95686F4693A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ESSI" sheetId="1" r:id="rId1"/>
    <sheet name="DAT" sheetId="2" r:id="rId2"/>
    <sheet name="CC" sheetId="3" r:id="rId3"/>
  </sheets>
  <definedNames>
    <definedName name="_xlnm._FilterDatabase" localSheetId="1" hidden="1">DAT!$A$1:$D$19</definedName>
    <definedName name="_xlnm._FilterDatabase" localSheetId="0" hidden="1">ESSI!$A$1:$B$15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2" i="3"/>
</calcChain>
</file>

<file path=xl/sharedStrings.xml><?xml version="1.0" encoding="utf-8"?>
<sst xmlns="http://schemas.openxmlformats.org/spreadsheetml/2006/main" count="141" uniqueCount="46">
  <si>
    <t>COLUMNA</t>
  </si>
  <si>
    <t>FUENTE</t>
  </si>
  <si>
    <t>LLAVE EN TABLA</t>
  </si>
  <si>
    <t>LLAVE EN DIM</t>
  </si>
  <si>
    <t>ori_cas</t>
  </si>
  <si>
    <t>cod_cas</t>
  </si>
  <si>
    <t>des_cas</t>
  </si>
  <si>
    <t>cod_red</t>
  </si>
  <si>
    <t>des_red</t>
  </si>
  <si>
    <t>sol_fec</t>
  </si>
  <si>
    <t>pac_sec</t>
  </si>
  <si>
    <t>id_oricas</t>
  </si>
  <si>
    <t>id_cas</t>
  </si>
  <si>
    <t>id_red</t>
  </si>
  <si>
    <t>DIM ORICAS</t>
  </si>
  <si>
    <t>DIM CAS</t>
  </si>
  <si>
    <t>DIM TIEMPO</t>
  </si>
  <si>
    <t>DIM RED</t>
  </si>
  <si>
    <t>sol_num</t>
  </si>
  <si>
    <t>id_time_sol</t>
  </si>
  <si>
    <t>id_ano_sol</t>
  </si>
  <si>
    <t>id_mes_sol</t>
  </si>
  <si>
    <t>id_dia_sol</t>
  </si>
  <si>
    <t>id_diasem_sol</t>
  </si>
  <si>
    <t>id_sem_sol</t>
  </si>
  <si>
    <t>id_pacsec</t>
  </si>
  <si>
    <t xml:space="preserve">dim_pacsec </t>
  </si>
  <si>
    <t>act_med</t>
  </si>
  <si>
    <t>inf_ane</t>
  </si>
  <si>
    <t>sec_ane</t>
  </si>
  <si>
    <t>cod_ane</t>
  </si>
  <si>
    <t>des_ane</t>
  </si>
  <si>
    <t>est_reg</t>
  </si>
  <si>
    <t>dim_cqxaneste</t>
  </si>
  <si>
    <t>id_anest</t>
  </si>
  <si>
    <t>infopeoricenasicod</t>
  </si>
  <si>
    <t>infopecenasicod</t>
  </si>
  <si>
    <t>infopesolopenum</t>
  </si>
  <si>
    <t>infopeinfane</t>
  </si>
  <si>
    <t>infopeanesecue</t>
  </si>
  <si>
    <t>infopeaneanecod</t>
  </si>
  <si>
    <t>infopeaneestregcod</t>
  </si>
  <si>
    <t>solopefec</t>
  </si>
  <si>
    <t>solopeactmednum</t>
  </si>
  <si>
    <t>solopebuspacsecnum</t>
  </si>
  <si>
    <t>dim cas-red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</si>
</sst>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2" sqref="C2:C15"/>
    </sheetView>
  </sheetViews>
  <sheetFormatPr baseColWidth="10" defaultColWidth="9.140625" defaultRowHeight="15" x14ac:dyDescent="0.25"/>
  <cols>
    <col min="1" max="1" width="20.85546875" customWidth="1"/>
    <col min="2" max="2" width="24.7109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4</v>
      </c>
      <c r="B2" t="s">
        <v>35</v>
      </c>
      <c r="C2" t="s">
        <v>4</v>
      </c>
    </row>
    <row r="3" spans="1:3" x14ac:dyDescent="0.25">
      <c r="A3" t="s">
        <v>5</v>
      </c>
      <c r="B3" t="s">
        <v>36</v>
      </c>
      <c r="C3" t="s">
        <v>5</v>
      </c>
    </row>
    <row r="4" spans="1:3" x14ac:dyDescent="0.25">
      <c r="A4" t="s">
        <v>6</v>
      </c>
      <c r="B4" s="3" t="s">
        <v>45</v>
      </c>
      <c r="C4" t="s">
        <v>6</v>
      </c>
    </row>
    <row r="5" spans="1:3" x14ac:dyDescent="0.25">
      <c r="A5" t="s">
        <v>7</v>
      </c>
      <c r="B5" s="3" t="s">
        <v>45</v>
      </c>
      <c r="C5" t="s">
        <v>7</v>
      </c>
    </row>
    <row r="6" spans="1:3" x14ac:dyDescent="0.25">
      <c r="A6" t="s">
        <v>8</v>
      </c>
      <c r="B6" s="3" t="s">
        <v>45</v>
      </c>
      <c r="C6" t="s">
        <v>8</v>
      </c>
    </row>
    <row r="7" spans="1:3" x14ac:dyDescent="0.25">
      <c r="A7" t="s">
        <v>18</v>
      </c>
      <c r="B7" t="s">
        <v>37</v>
      </c>
      <c r="C7" t="s">
        <v>18</v>
      </c>
    </row>
    <row r="8" spans="1:3" x14ac:dyDescent="0.25">
      <c r="A8" t="s">
        <v>28</v>
      </c>
      <c r="B8" t="s">
        <v>38</v>
      </c>
      <c r="C8" t="s">
        <v>28</v>
      </c>
    </row>
    <row r="9" spans="1:3" x14ac:dyDescent="0.25">
      <c r="A9" t="s">
        <v>29</v>
      </c>
      <c r="B9" t="s">
        <v>39</v>
      </c>
      <c r="C9" t="s">
        <v>29</v>
      </c>
    </row>
    <row r="10" spans="1:3" x14ac:dyDescent="0.25">
      <c r="A10" t="s">
        <v>30</v>
      </c>
      <c r="B10" t="s">
        <v>40</v>
      </c>
      <c r="C10" t="s">
        <v>30</v>
      </c>
    </row>
    <row r="11" spans="1:3" x14ac:dyDescent="0.25">
      <c r="A11" t="s">
        <v>31</v>
      </c>
      <c r="B11" s="2" t="s">
        <v>33</v>
      </c>
      <c r="C11" t="s">
        <v>31</v>
      </c>
    </row>
    <row r="12" spans="1:3" x14ac:dyDescent="0.25">
      <c r="A12" t="s">
        <v>32</v>
      </c>
      <c r="B12" t="s">
        <v>41</v>
      </c>
      <c r="C12" t="s">
        <v>32</v>
      </c>
    </row>
    <row r="13" spans="1:3" x14ac:dyDescent="0.25">
      <c r="A13" t="s">
        <v>9</v>
      </c>
      <c r="B13" t="s">
        <v>42</v>
      </c>
      <c r="C13" t="s">
        <v>9</v>
      </c>
    </row>
    <row r="14" spans="1:3" x14ac:dyDescent="0.25">
      <c r="A14" t="s">
        <v>27</v>
      </c>
      <c r="B14" t="s">
        <v>43</v>
      </c>
      <c r="C14" t="s">
        <v>27</v>
      </c>
    </row>
    <row r="15" spans="1:3" x14ac:dyDescent="0.25">
      <c r="A15" t="s">
        <v>10</v>
      </c>
      <c r="B15" t="s">
        <v>44</v>
      </c>
      <c r="C15" t="s">
        <v>10</v>
      </c>
    </row>
  </sheetData>
  <autoFilter ref="A1:B1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D67B-7509-48EE-9D14-0D50757C15A4}">
  <dimension ref="A1:E18"/>
  <sheetViews>
    <sheetView workbookViewId="0">
      <selection activeCell="B18" sqref="B18"/>
    </sheetView>
  </sheetViews>
  <sheetFormatPr baseColWidth="10" defaultRowHeight="15" x14ac:dyDescent="0.25"/>
  <cols>
    <col min="1" max="3" width="18.42578125" customWidth="1"/>
    <col min="4" max="4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11</v>
      </c>
      <c r="B2" s="4" t="s">
        <v>14</v>
      </c>
      <c r="C2" t="s">
        <v>4</v>
      </c>
    </row>
    <row r="3" spans="1:5" x14ac:dyDescent="0.25">
      <c r="A3" t="s">
        <v>12</v>
      </c>
      <c r="B3" s="4" t="s">
        <v>15</v>
      </c>
      <c r="C3" t="s">
        <v>5</v>
      </c>
    </row>
    <row r="4" spans="1:5" x14ac:dyDescent="0.25">
      <c r="A4" t="s">
        <v>13</v>
      </c>
      <c r="B4" s="4" t="s">
        <v>17</v>
      </c>
      <c r="C4" t="s">
        <v>7</v>
      </c>
      <c r="E4" t="s">
        <v>6</v>
      </c>
    </row>
    <row r="5" spans="1:5" x14ac:dyDescent="0.25">
      <c r="A5" t="s">
        <v>18</v>
      </c>
      <c r="B5" t="s">
        <v>18</v>
      </c>
      <c r="E5" t="s">
        <v>8</v>
      </c>
    </row>
    <row r="6" spans="1:5" x14ac:dyDescent="0.25">
      <c r="A6" t="s">
        <v>28</v>
      </c>
      <c r="B6" t="s">
        <v>28</v>
      </c>
      <c r="E6" t="s">
        <v>31</v>
      </c>
    </row>
    <row r="7" spans="1:5" x14ac:dyDescent="0.25">
      <c r="A7" t="s">
        <v>29</v>
      </c>
      <c r="B7" t="s">
        <v>29</v>
      </c>
    </row>
    <row r="8" spans="1:5" x14ac:dyDescent="0.25">
      <c r="A8" t="s">
        <v>34</v>
      </c>
      <c r="B8" s="2" t="s">
        <v>33</v>
      </c>
      <c r="C8" t="s">
        <v>30</v>
      </c>
    </row>
    <row r="9" spans="1:5" x14ac:dyDescent="0.25">
      <c r="A9" t="s">
        <v>32</v>
      </c>
      <c r="B9" t="s">
        <v>32</v>
      </c>
    </row>
    <row r="10" spans="1:5" x14ac:dyDescent="0.25">
      <c r="A10" t="s">
        <v>9</v>
      </c>
      <c r="B10" t="s">
        <v>9</v>
      </c>
    </row>
    <row r="11" spans="1:5" x14ac:dyDescent="0.25">
      <c r="A11" t="s">
        <v>19</v>
      </c>
      <c r="B11" s="2" t="s">
        <v>16</v>
      </c>
    </row>
    <row r="12" spans="1:5" x14ac:dyDescent="0.25">
      <c r="A12" t="s">
        <v>20</v>
      </c>
      <c r="B12" s="2" t="s">
        <v>16</v>
      </c>
    </row>
    <row r="13" spans="1:5" x14ac:dyDescent="0.25">
      <c r="A13" t="s">
        <v>21</v>
      </c>
      <c r="B13" s="2" t="s">
        <v>16</v>
      </c>
    </row>
    <row r="14" spans="1:5" x14ac:dyDescent="0.25">
      <c r="A14" t="s">
        <v>22</v>
      </c>
      <c r="B14" s="2" t="s">
        <v>16</v>
      </c>
    </row>
    <row r="15" spans="1:5" x14ac:dyDescent="0.25">
      <c r="A15" t="s">
        <v>23</v>
      </c>
      <c r="B15" s="2" t="s">
        <v>16</v>
      </c>
    </row>
    <row r="16" spans="1:5" x14ac:dyDescent="0.25">
      <c r="A16" t="s">
        <v>24</v>
      </c>
      <c r="B16" s="2" t="s">
        <v>16</v>
      </c>
    </row>
    <row r="17" spans="1:3" x14ac:dyDescent="0.25">
      <c r="A17" t="s">
        <v>27</v>
      </c>
      <c r="B17" t="s">
        <v>27</v>
      </c>
    </row>
    <row r="18" spans="1:3" x14ac:dyDescent="0.25">
      <c r="A18" t="s">
        <v>25</v>
      </c>
      <c r="B18" s="2" t="s">
        <v>26</v>
      </c>
      <c r="C18" t="s">
        <v>10</v>
      </c>
    </row>
  </sheetData>
  <autoFilter ref="A1:D19" xr:uid="{8742D67B-7509-48EE-9D14-0D50757C15A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9B28-97FC-4B85-8F6A-5E8CDDDECE8E}">
  <dimension ref="A1:L19"/>
  <sheetViews>
    <sheetView tabSelected="1" workbookViewId="0">
      <selection activeCell="M16" sqref="M16"/>
    </sheetView>
  </sheetViews>
  <sheetFormatPr baseColWidth="10" defaultRowHeight="15" x14ac:dyDescent="0.25"/>
  <cols>
    <col min="1" max="1" width="20.140625" bestFit="1" customWidth="1"/>
    <col min="2" max="2" width="10.5703125" customWidth="1"/>
    <col min="8" max="8" width="11.85546875" bestFit="1" customWidth="1"/>
  </cols>
  <sheetData>
    <row r="1" spans="1:12" x14ac:dyDescent="0.25">
      <c r="A1" t="s">
        <v>35</v>
      </c>
      <c r="B1" t="s">
        <v>4</v>
      </c>
      <c r="C1">
        <v>32941</v>
      </c>
    </row>
    <row r="2" spans="1:12" x14ac:dyDescent="0.25">
      <c r="A2" t="s">
        <v>36</v>
      </c>
      <c r="B2" t="s">
        <v>5</v>
      </c>
      <c r="C2">
        <v>32941</v>
      </c>
      <c r="F2" t="s">
        <v>5</v>
      </c>
      <c r="G2">
        <v>32959</v>
      </c>
      <c r="H2">
        <f>VLOOKUP(F2,B1:C10,2,0)</f>
        <v>32941</v>
      </c>
    </row>
    <row r="3" spans="1:12" x14ac:dyDescent="0.25">
      <c r="A3" t="s">
        <v>37</v>
      </c>
      <c r="B3" t="s">
        <v>18</v>
      </c>
      <c r="C3">
        <v>32941</v>
      </c>
      <c r="F3" t="s">
        <v>32</v>
      </c>
      <c r="G3">
        <v>32959</v>
      </c>
      <c r="H3">
        <f t="shared" ref="H3:H15" si="0">VLOOKUP(F3,B2:C11,2,0)</f>
        <v>32941</v>
      </c>
      <c r="K3" t="s">
        <v>18</v>
      </c>
      <c r="L3">
        <v>32959</v>
      </c>
    </row>
    <row r="4" spans="1:12" x14ac:dyDescent="0.25">
      <c r="A4" t="s">
        <v>38</v>
      </c>
      <c r="B4" t="s">
        <v>28</v>
      </c>
      <c r="C4">
        <v>32941</v>
      </c>
      <c r="F4" t="s">
        <v>9</v>
      </c>
      <c r="G4">
        <v>32959</v>
      </c>
      <c r="H4">
        <f t="shared" si="0"/>
        <v>32941</v>
      </c>
      <c r="K4" t="s">
        <v>28</v>
      </c>
      <c r="L4">
        <v>32959</v>
      </c>
    </row>
    <row r="5" spans="1:12" x14ac:dyDescent="0.25">
      <c r="A5" t="s">
        <v>39</v>
      </c>
      <c r="B5" t="s">
        <v>29</v>
      </c>
      <c r="C5">
        <v>32941</v>
      </c>
      <c r="F5" t="s">
        <v>7</v>
      </c>
      <c r="G5">
        <v>32959</v>
      </c>
      <c r="H5" t="e">
        <f t="shared" si="0"/>
        <v>#N/A</v>
      </c>
      <c r="K5" t="s">
        <v>29</v>
      </c>
      <c r="L5">
        <v>32959</v>
      </c>
    </row>
    <row r="6" spans="1:12" x14ac:dyDescent="0.25">
      <c r="A6" t="s">
        <v>40</v>
      </c>
      <c r="B6" t="s">
        <v>30</v>
      </c>
      <c r="C6">
        <v>32941</v>
      </c>
      <c r="F6" t="s">
        <v>8</v>
      </c>
      <c r="G6">
        <v>32959</v>
      </c>
      <c r="H6" t="e">
        <f t="shared" si="0"/>
        <v>#N/A</v>
      </c>
      <c r="K6" t="s">
        <v>32</v>
      </c>
      <c r="L6">
        <v>32959</v>
      </c>
    </row>
    <row r="7" spans="1:12" x14ac:dyDescent="0.25">
      <c r="A7" t="s">
        <v>41</v>
      </c>
      <c r="B7" t="s">
        <v>32</v>
      </c>
      <c r="C7">
        <v>32941</v>
      </c>
      <c r="F7" t="s">
        <v>18</v>
      </c>
      <c r="G7">
        <v>32959</v>
      </c>
      <c r="H7" t="e">
        <f t="shared" si="0"/>
        <v>#N/A</v>
      </c>
      <c r="K7" t="s">
        <v>9</v>
      </c>
      <c r="L7">
        <v>32959</v>
      </c>
    </row>
    <row r="8" spans="1:12" x14ac:dyDescent="0.25">
      <c r="A8" t="s">
        <v>42</v>
      </c>
      <c r="B8" t="s">
        <v>9</v>
      </c>
      <c r="C8">
        <v>32941</v>
      </c>
      <c r="F8" t="s">
        <v>27</v>
      </c>
      <c r="G8">
        <v>32959</v>
      </c>
      <c r="H8">
        <f t="shared" si="0"/>
        <v>32941</v>
      </c>
      <c r="K8" t="s">
        <v>27</v>
      </c>
      <c r="L8">
        <v>32959</v>
      </c>
    </row>
    <row r="9" spans="1:12" x14ac:dyDescent="0.25">
      <c r="A9" t="s">
        <v>43</v>
      </c>
      <c r="B9" t="s">
        <v>27</v>
      </c>
      <c r="C9">
        <v>32941</v>
      </c>
      <c r="F9" t="s">
        <v>29</v>
      </c>
      <c r="G9">
        <v>32959</v>
      </c>
      <c r="H9" t="e">
        <f t="shared" si="0"/>
        <v>#N/A</v>
      </c>
      <c r="K9" t="s">
        <v>11</v>
      </c>
      <c r="L9">
        <v>32959</v>
      </c>
    </row>
    <row r="10" spans="1:12" x14ac:dyDescent="0.25">
      <c r="A10" t="s">
        <v>44</v>
      </c>
      <c r="B10" t="s">
        <v>10</v>
      </c>
      <c r="C10">
        <v>32941</v>
      </c>
      <c r="F10" t="s">
        <v>4</v>
      </c>
      <c r="G10">
        <v>32959</v>
      </c>
      <c r="H10" t="e">
        <f t="shared" si="0"/>
        <v>#N/A</v>
      </c>
      <c r="K10" t="s">
        <v>12</v>
      </c>
      <c r="L10">
        <v>32959</v>
      </c>
    </row>
    <row r="11" spans="1:12" x14ac:dyDescent="0.25">
      <c r="F11" t="s">
        <v>10</v>
      </c>
      <c r="G11">
        <v>32959</v>
      </c>
      <c r="H11">
        <f t="shared" si="0"/>
        <v>32941</v>
      </c>
      <c r="K11" t="s">
        <v>13</v>
      </c>
      <c r="L11">
        <v>32959</v>
      </c>
    </row>
    <row r="12" spans="1:12" x14ac:dyDescent="0.25">
      <c r="F12" t="s">
        <v>6</v>
      </c>
      <c r="G12">
        <v>32959</v>
      </c>
      <c r="H12" t="e">
        <f t="shared" si="0"/>
        <v>#N/A</v>
      </c>
      <c r="K12" t="s">
        <v>34</v>
      </c>
      <c r="L12">
        <v>32959</v>
      </c>
    </row>
    <row r="13" spans="1:12" x14ac:dyDescent="0.25">
      <c r="F13" t="s">
        <v>28</v>
      </c>
      <c r="G13">
        <v>32959</v>
      </c>
      <c r="H13" t="e">
        <f t="shared" si="0"/>
        <v>#N/A</v>
      </c>
      <c r="K13" t="s">
        <v>25</v>
      </c>
      <c r="L13">
        <v>32345</v>
      </c>
    </row>
    <row r="14" spans="1:12" x14ac:dyDescent="0.25">
      <c r="F14" t="s">
        <v>31</v>
      </c>
      <c r="G14">
        <v>32959</v>
      </c>
      <c r="H14" t="e">
        <f t="shared" si="0"/>
        <v>#N/A</v>
      </c>
      <c r="K14" t="s">
        <v>19</v>
      </c>
      <c r="L14">
        <v>32958</v>
      </c>
    </row>
    <row r="15" spans="1:12" x14ac:dyDescent="0.25">
      <c r="F15" t="s">
        <v>30</v>
      </c>
      <c r="G15">
        <v>32959</v>
      </c>
      <c r="H15" t="e">
        <f t="shared" si="0"/>
        <v>#N/A</v>
      </c>
      <c r="K15" t="s">
        <v>21</v>
      </c>
      <c r="L15">
        <v>32958</v>
      </c>
    </row>
    <row r="16" spans="1:12" x14ac:dyDescent="0.25">
      <c r="K16" t="s">
        <v>22</v>
      </c>
      <c r="L16">
        <v>32958</v>
      </c>
    </row>
    <row r="17" spans="11:12" x14ac:dyDescent="0.25">
      <c r="K17" t="s">
        <v>23</v>
      </c>
      <c r="L17">
        <v>32958</v>
      </c>
    </row>
    <row r="18" spans="11:12" x14ac:dyDescent="0.25">
      <c r="K18" t="s">
        <v>24</v>
      </c>
      <c r="L18">
        <v>32958</v>
      </c>
    </row>
    <row r="19" spans="11:12" x14ac:dyDescent="0.25">
      <c r="K19" t="s">
        <v>20</v>
      </c>
      <c r="L19">
        <v>32958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ESSI</vt:lpstr>
      <vt:lpstr>DAT</vt:lpstr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UGAD - INGENIERIA 1</dc:creator>
  <cp:lastModifiedBy>UGAD - INGENIERIA 1</cp:lastModifiedBy>
  <dcterms:created xsi:type="dcterms:W3CDTF">2015-06-05T18:19:34Z</dcterms:created>
  <dcterms:modified xsi:type="dcterms:W3CDTF">2023-06-27T22:01:19Z</dcterms:modified>
</cp:coreProperties>
</file>