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sop10" sheetId="1" r:id="rId4"/>
    <sheet state="visible" name="qtiop10" sheetId="2" r:id="rId5"/>
    <sheet state="visible" name="qtian10" sheetId="3" r:id="rId6"/>
    <sheet state="visible" name="qtiod10" sheetId="4" r:id="rId7"/>
    <sheet state="visible" name="qtioo10" sheetId="5" r:id="rId8"/>
    <sheet state="visible" name="qtiaa10" sheetId="6" r:id="rId9"/>
    <sheet state="visible" name="qtsoo10" sheetId="7" r:id="rId10"/>
  </sheets>
  <definedNames/>
  <calcPr/>
  <extLst>
    <ext uri="GoogleSheetsCustomDataVersion2">
      <go:sheetsCustomData xmlns:go="http://customooxmlschemas.google.com/" r:id="rId11" roundtripDataChecksum="7axE+M/RwTlDsvMLEM3szxhbDoBIu8q96zGUzBWrdSc="/>
    </ext>
  </extLst>
</workbook>
</file>

<file path=xl/sharedStrings.xml><?xml version="1.0" encoding="utf-8"?>
<sst xmlns="http://schemas.openxmlformats.org/spreadsheetml/2006/main" count="1289" uniqueCount="444">
  <si>
    <t>Nombre:</t>
  </si>
  <si>
    <t>qtsop10</t>
  </si>
  <si>
    <t>Descripción: Se almacenarán toda la información sobre Solicitudes de Salas de Operaciones</t>
  </si>
  <si>
    <t>ESSI</t>
  </si>
  <si>
    <t>LAGUNA</t>
  </si>
  <si>
    <t>DESCRIPCIÓN</t>
  </si>
  <si>
    <t>PK</t>
  </si>
  <si>
    <t>Campo</t>
  </si>
  <si>
    <t>Tipo de dato</t>
  </si>
  <si>
    <t>Null</t>
  </si>
  <si>
    <t>Descripción</t>
  </si>
  <si>
    <t>ori_cas</t>
  </si>
  <si>
    <t>solopeoricenasicod</t>
  </si>
  <si>
    <t>Código Origen Centro Asistencal</t>
  </si>
  <si>
    <t>SI</t>
  </si>
  <si>
    <t>character(1)</t>
  </si>
  <si>
    <t>No</t>
  </si>
  <si>
    <t>cod_cas</t>
  </si>
  <si>
    <t>solopecenasicod</t>
  </si>
  <si>
    <t>Código Centro Asistencial</t>
  </si>
  <si>
    <t>character(3)</t>
  </si>
  <si>
    <t>des_cas</t>
  </si>
  <si>
    <t>DIM CAS-RED</t>
  </si>
  <si>
    <t>Descripción Código Centro Asistencial</t>
  </si>
  <si>
    <t>solopenum</t>
  </si>
  <si>
    <t>numeric(10,0)</t>
  </si>
  <si>
    <t>cod_red</t>
  </si>
  <si>
    <t>Código de Red Asistencial</t>
  </si>
  <si>
    <t>NO</t>
  </si>
  <si>
    <t>solopefec</t>
  </si>
  <si>
    <t>date</t>
  </si>
  <si>
    <t>des_red</t>
  </si>
  <si>
    <t>Descripción Código de Red Asistencial</t>
  </si>
  <si>
    <t>solopeactmednum</t>
  </si>
  <si>
    <t>num_sol</t>
  </si>
  <si>
    <t>Número Solicitud de Sala de Operación</t>
  </si>
  <si>
    <t>solopemedtipdocidenpercod</t>
  </si>
  <si>
    <t>fec_sol</t>
  </si>
  <si>
    <t>Fecha Solicitud de Sala de Operación</t>
  </si>
  <si>
    <t>solopemedperasisdocidennum</t>
  </si>
  <si>
    <t>character(10)</t>
  </si>
  <si>
    <t>act_med</t>
  </si>
  <si>
    <t>Número de Acto Médico Origen Solicitud</t>
  </si>
  <si>
    <t>solopesolfec</t>
  </si>
  <si>
    <t>cod_tdi</t>
  </si>
  <si>
    <t>Código Tipo Documento de Identidad Médico Solicita</t>
  </si>
  <si>
    <t>solopeprofec</t>
  </si>
  <si>
    <t>num_doc</t>
  </si>
  <si>
    <t>Número Documento de Identidad Médico Solicita</t>
  </si>
  <si>
    <t>solopeprohor</t>
  </si>
  <si>
    <t>timestamp with time zone</t>
  </si>
  <si>
    <t>fec_sop</t>
  </si>
  <si>
    <t>Fecha Solicitada de Operación</t>
  </si>
  <si>
    <t>estfiscod</t>
  </si>
  <si>
    <t>fec_pro</t>
  </si>
  <si>
    <t>Fecha Programada de Operación</t>
  </si>
  <si>
    <t>estsopcod</t>
  </si>
  <si>
    <t>hor_pro</t>
  </si>
  <si>
    <t>Hora Programada de Operación</t>
  </si>
  <si>
    <t>solopeestregcod</t>
  </si>
  <si>
    <t>est_fis</t>
  </si>
  <si>
    <t>Código Estado Físico Pre-Quirúrgico (ASA) (Anestesiólogo)</t>
  </si>
  <si>
    <t>solopeusucrecod</t>
  </si>
  <si>
    <t>des_fis</t>
  </si>
  <si>
    <t>dim_cqxestfis</t>
  </si>
  <si>
    <t>Descripción Código Estado Físico Pre-Quirúrgico (ASA) (Anestesiólogo)</t>
  </si>
  <si>
    <t>solopecrefec</t>
  </si>
  <si>
    <t>est_sop</t>
  </si>
  <si>
    <t>Código Estado Solicitud de Operación</t>
  </si>
  <si>
    <t>solopeusumodcod</t>
  </si>
  <si>
    <t>des_sop</t>
  </si>
  <si>
    <t>dim_cqxestsolope</t>
  </si>
  <si>
    <t>Descripción Código Estado Solicitud de Operación</t>
  </si>
  <si>
    <t>solopemodfec</t>
  </si>
  <si>
    <t>est_reg</t>
  </si>
  <si>
    <t>Código Estado del Registro</t>
  </si>
  <si>
    <t>solopecenquicod</t>
  </si>
  <si>
    <t>character(2)</t>
  </si>
  <si>
    <t>des_reg</t>
  </si>
  <si>
    <t>dim_cqxestreg</t>
  </si>
  <si>
    <t>Descripción Código Estado del Registro</t>
  </si>
  <si>
    <t>solopesalopecod</t>
  </si>
  <si>
    <t>usu_cre</t>
  </si>
  <si>
    <t>Código Usuario Registra</t>
  </si>
  <si>
    <t>solopeesttpo</t>
  </si>
  <si>
    <t>fec_cre</t>
  </si>
  <si>
    <t>Fecha y Hora Registra</t>
  </si>
  <si>
    <t>solopearehoscod</t>
  </si>
  <si>
    <t>usu_mod</t>
  </si>
  <si>
    <t>Código Usuario Modifica</t>
  </si>
  <si>
    <t>solopeservhoscod</t>
  </si>
  <si>
    <t>fec_mod</t>
  </si>
  <si>
    <t>Fecha y Hora Modifica</t>
  </si>
  <si>
    <t>solopeordnum</t>
  </si>
  <si>
    <t>numeric(2,0)</t>
  </si>
  <si>
    <t>cod_cqx</t>
  </si>
  <si>
    <t>Código Centro Quirúrgico para Operación</t>
  </si>
  <si>
    <t>solopeemecod</t>
  </si>
  <si>
    <t>des_cqx</t>
  </si>
  <si>
    <t>dim_cqxcenqx</t>
  </si>
  <si>
    <t>Descripción Código Centro Quirúrgico para Operación</t>
  </si>
  <si>
    <t>solopesolarehoscod</t>
  </si>
  <si>
    <t>cod_sal</t>
  </si>
  <si>
    <t>Código Sala de Operaciones</t>
  </si>
  <si>
    <t>solopesolservhoscod</t>
  </si>
  <si>
    <t>des_sal</t>
  </si>
  <si>
    <t>dim_cqxestsal</t>
  </si>
  <si>
    <t>Descripción Código Sala de Operaciones</t>
  </si>
  <si>
    <t>conopecod</t>
  </si>
  <si>
    <t>est_ocu</t>
  </si>
  <si>
    <t>Tiempo Estimado de Ocupación Sala de Operaciones (Cantidad Horas)</t>
  </si>
  <si>
    <t>solopeactmedopenum</t>
  </si>
  <si>
    <t>cod_are</t>
  </si>
  <si>
    <t>Código Area Hospitalaria Solicita</t>
  </si>
  <si>
    <t>priopecod</t>
  </si>
  <si>
    <t>des_are</t>
  </si>
  <si>
    <t>DIM AREAS</t>
  </si>
  <si>
    <t>Descripción Código Area Hospitalaria Solicita</t>
  </si>
  <si>
    <t>riequicod</t>
  </si>
  <si>
    <t>cod_ser</t>
  </si>
  <si>
    <t>Código Servicio Hospitalario Solicita</t>
  </si>
  <si>
    <t>solopediashosprecan</t>
  </si>
  <si>
    <t>des_ser</t>
  </si>
  <si>
    <t>dim_servicios</t>
  </si>
  <si>
    <t>Descripción Código Servicio Hospitalario Solicita</t>
  </si>
  <si>
    <t>solopediashosposcan</t>
  </si>
  <si>
    <t>ord_ope</t>
  </si>
  <si>
    <t>Número de Orden de la Operación</t>
  </si>
  <si>
    <t>motsopcod</t>
  </si>
  <si>
    <t>eme_sol</t>
  </si>
  <si>
    <t>Código de la Emergencia Solicita</t>
  </si>
  <si>
    <t>solopetipanecod</t>
  </si>
  <si>
    <t>des_eme_sol</t>
  </si>
  <si>
    <t>dim_emecod</t>
  </si>
  <si>
    <t>Descripción Código de la Emergencia Solicita</t>
  </si>
  <si>
    <t>soloperesexalabflg</t>
  </si>
  <si>
    <t>are_sol</t>
  </si>
  <si>
    <t>Código Area Hospitalaria Solicitada ('05')</t>
  </si>
  <si>
    <t>soloperiequiflg</t>
  </si>
  <si>
    <t>des_are_sol</t>
  </si>
  <si>
    <t>dim_areas</t>
  </si>
  <si>
    <t>Descripción Código Area Hospitalaria Solicitada ('05')</t>
  </si>
  <si>
    <t>soloperieneuflg</t>
  </si>
  <si>
    <t>ser_sol</t>
  </si>
  <si>
    <t>Código Especialidad Quirúrgica (Servicio) Solicitada</t>
  </si>
  <si>
    <t>solopeconinfflg</t>
  </si>
  <si>
    <t>des_ser_sol</t>
  </si>
  <si>
    <t>Descripción Código Especialidad Quirúrgica (Servicio) Solicitada</t>
  </si>
  <si>
    <t>solopeordtraflg</t>
  </si>
  <si>
    <t>tip_ope</t>
  </si>
  <si>
    <t>Código Tipo de Operación</t>
  </si>
  <si>
    <t>solopeevalpqxflg</t>
  </si>
  <si>
    <t>des_tip_ope</t>
  </si>
  <si>
    <t>dim_cqxtipope</t>
  </si>
  <si>
    <t>Descripción Código Tipo de Operación</t>
  </si>
  <si>
    <t>solopeevalpqxfec</t>
  </si>
  <si>
    <t>act_med_ope</t>
  </si>
  <si>
    <t>Número de Acto Médico de la Operación</t>
  </si>
  <si>
    <t>solopeevalpqxoricenasicod</t>
  </si>
  <si>
    <t>pri_ope</t>
  </si>
  <si>
    <t>Código Prioridad de la Operación</t>
  </si>
  <si>
    <t>solopeevalpqxcenasicod</t>
  </si>
  <si>
    <t>rie_qx</t>
  </si>
  <si>
    <t>Código Riesgo Quirúrgico (GOLDMAN) (Cardiólogo)</t>
  </si>
  <si>
    <t>solopeevalpqxactmednum</t>
  </si>
  <si>
    <t>des_rqx</t>
  </si>
  <si>
    <t>dim_cqxrieqx</t>
  </si>
  <si>
    <t>Descripción Código Riesgo Quirúrgico (GOLDMAN) (Cardiólogo)</t>
  </si>
  <si>
    <t>solopetopemecod</t>
  </si>
  <si>
    <t>dia_hos_pre</t>
  </si>
  <si>
    <t>Cantidad Dias Hospitalización Pre-Quirúrgico</t>
  </si>
  <si>
    <t>solopeatesecnum</t>
  </si>
  <si>
    <t>numeric(4,0)</t>
  </si>
  <si>
    <t>dia_hos_pos</t>
  </si>
  <si>
    <t>Cantidad Dias Hospitalización Pos-Quirúrgico</t>
  </si>
  <si>
    <t>solopebuspacsecnum</t>
  </si>
  <si>
    <t>mot_sus</t>
  </si>
  <si>
    <t>Código Motivo de Suspensión de Operación</t>
  </si>
  <si>
    <t>solopesolexafec</t>
  </si>
  <si>
    <t>des_mot_sus</t>
  </si>
  <si>
    <t>dim_cqxmotsus</t>
  </si>
  <si>
    <t>Descripción Código Motivo de Suspensión de Operación</t>
  </si>
  <si>
    <t>soloperesexalabfec</t>
  </si>
  <si>
    <t>tip_ane</t>
  </si>
  <si>
    <t>Código Tipo de Anestesia</t>
  </si>
  <si>
    <t>soloperiequifec</t>
  </si>
  <si>
    <t>des_tip_ane</t>
  </si>
  <si>
    <t>dim_cqxaneste</t>
  </si>
  <si>
    <t>Descripción Código Tipo de Anestesia</t>
  </si>
  <si>
    <t>soloperieneufec</t>
  </si>
  <si>
    <t>res_lab</t>
  </si>
  <si>
    <t>MOPRI - ¿Tiene Resultados de Exámenes de Laboratorio? (0=No/1=Si/2=No Requiere)</t>
  </si>
  <si>
    <t>solopeevalpqxmedtipdoc</t>
  </si>
  <si>
    <t>des_res_lab</t>
  </si>
  <si>
    <t>dim_cqxmopreslab</t>
  </si>
  <si>
    <t>Descripción MOPRI - ¿Tiene Resultados de Exámenes de Laboratorio? (0=No/1=Si/2=No Requiere)</t>
  </si>
  <si>
    <t>solopeevalpqxmeddocnum</t>
  </si>
  <si>
    <t>character(15)</t>
  </si>
  <si>
    <t>res_rie_qx</t>
  </si>
  <si>
    <t>MOPRI - ¿Tiene Riesgo Quirúrgico? (0=No/1=Si/2=No Requiere)</t>
  </si>
  <si>
    <t>solopediashospreflg</t>
  </si>
  <si>
    <t>des_res_rieqx</t>
  </si>
  <si>
    <t>dim_cqxmoprieqx</t>
  </si>
  <si>
    <t>Descripción MOPRI - ¿Tiene Riesgo Quirúrgico? (0=No/1=Si/2=No Requiere)</t>
  </si>
  <si>
    <t>solopediashosposflg</t>
  </si>
  <si>
    <t>res_rie_neu</t>
  </si>
  <si>
    <t>MOPRI - ¿Tiene Riesgo Neumológico? (0=No/1=Si/2=No Requiere)</t>
  </si>
  <si>
    <t>solopereqprotflg</t>
  </si>
  <si>
    <t>des_res_rieneu</t>
  </si>
  <si>
    <t>dim_cqxmoprieneu</t>
  </si>
  <si>
    <t>Descripción MOPRI - ¿Tiene Riesgo Neumológico? (0=No/1=Si/2=No Requiere)</t>
  </si>
  <si>
    <t>con_inf</t>
  </si>
  <si>
    <t>MOPRI - ¿Tiene Consentimiento Informado? (0=No/1=Si/2=No Requiere)</t>
  </si>
  <si>
    <t>des_con_inf</t>
  </si>
  <si>
    <t>dim_cqxmopconinf</t>
  </si>
  <si>
    <t>Descripción MOPRI - ¿Tiene Consentimiento Informado? (0=No/1=Si/2=No Requiere)</t>
  </si>
  <si>
    <t>ord_tra</t>
  </si>
  <si>
    <t>MOPRI - ¿Tiene Orden de Transfusión? (0=No/1=Si/2=No Requiere)</t>
  </si>
  <si>
    <t>des_ord_tra</t>
  </si>
  <si>
    <t>dim_cqxmopordtra</t>
  </si>
  <si>
    <t>Descripción MOPRI - ¿Tiene Orden de Transfusión? (0=No/1=Si/2=No Requiere)</t>
  </si>
  <si>
    <t>res_eva</t>
  </si>
  <si>
    <t>Resultado Evaluación Pre-Quirúrgica (1=Apto/0=No Apto) (Anestesiólogo)</t>
  </si>
  <si>
    <t>des_res_eva</t>
  </si>
  <si>
    <t>dim_cqxresevapreqx</t>
  </si>
  <si>
    <t>Descripción Resultado Evaluación Pre-Quirúrgica (1=Apto/0=No Apto) (Anestesiólogo)</t>
  </si>
  <si>
    <t>fec_eva</t>
  </si>
  <si>
    <t>Fecha Evaluación Pre-Quirúrgica (Anestesiólogo)</t>
  </si>
  <si>
    <t>ori_cas_eva</t>
  </si>
  <si>
    <t>Código Origen Centro Asistencial Evaluación Pre-Quirúrgica</t>
  </si>
  <si>
    <t>cod_cas_eva</t>
  </si>
  <si>
    <t>Código Centro Asistencial Evaluación Pre-Quirúrgica</t>
  </si>
  <si>
    <t>act_med_eva</t>
  </si>
  <si>
    <t>Acto Médico Evaluación Pre-Quirúrgica</t>
  </si>
  <si>
    <t>num_sec</t>
  </si>
  <si>
    <t>Numero Secuencia Atención Solicita</t>
  </si>
  <si>
    <t>pac_sec</t>
  </si>
  <si>
    <t>Numero de Secuencia del Paciente Buscado</t>
  </si>
  <si>
    <t>fec_sol_exa</t>
  </si>
  <si>
    <t>MIOQX - Fecha de Solicitud de Exámenes</t>
  </si>
  <si>
    <t>fec_res_exa</t>
  </si>
  <si>
    <t>MIOQX - Fecha de Resultados de Exámenes de Laboratorio</t>
  </si>
  <si>
    <t>fec_rie_car</t>
  </si>
  <si>
    <t>MIOQX - Fecha de Riesgo Cardiovascular</t>
  </si>
  <si>
    <t>fec_rie_neu</t>
  </si>
  <si>
    <t>MIOQX - Fecha de Riesgo Neumológico</t>
  </si>
  <si>
    <t>eva_tip_doc</t>
  </si>
  <si>
    <t>Tipo Doc. Medico Evalua PQx</t>
  </si>
  <si>
    <t>eva_num_doc</t>
  </si>
  <si>
    <t>Num. Doc. Medico Evalua PQx</t>
  </si>
  <si>
    <t>sdp_hos_pre</t>
  </si>
  <si>
    <t>Sin Información</t>
  </si>
  <si>
    <t>sdp_hos_pos</t>
  </si>
  <si>
    <t>req_pro_flg</t>
  </si>
  <si>
    <t>ser_eme_sol</t>
  </si>
  <si>
    <t>Código Topico Emergencia Solicita</t>
  </si>
  <si>
    <t>qtiop10</t>
  </si>
  <si>
    <t>Descripción: Se almacenará el informe operatorio</t>
  </si>
  <si>
    <t>infopeoricenasicod</t>
  </si>
  <si>
    <t>Código Origen Centro Asistencial</t>
  </si>
  <si>
    <t>infopecenasicod</t>
  </si>
  <si>
    <t>infopesolopenum</t>
  </si>
  <si>
    <t>infopesecnum</t>
  </si>
  <si>
    <t>infopefec</t>
  </si>
  <si>
    <t>Número Solicitud de Sala de Operaciones</t>
  </si>
  <si>
    <t>infopeingsophor</t>
  </si>
  <si>
    <t>Número de Secuencia de Registro (01)</t>
  </si>
  <si>
    <t>infopesoptpo</t>
  </si>
  <si>
    <t>fec_ope</t>
  </si>
  <si>
    <t>Fecha de la Operación</t>
  </si>
  <si>
    <t>infopeanetpo</t>
  </si>
  <si>
    <t>hor_ing_sop</t>
  </si>
  <si>
    <t>Hora de Ingreso a Sala de Operaciones</t>
  </si>
  <si>
    <t>infopeopetpo</t>
  </si>
  <si>
    <t>tie_uso_sop</t>
  </si>
  <si>
    <t>Tiempo de Uso de Sala de Operaciones (HH:MM) (Cantidad)</t>
  </si>
  <si>
    <t>infopeexapatflg</t>
  </si>
  <si>
    <t>tie_ane</t>
  </si>
  <si>
    <t>Tiempo de las Anestesias (HH:MM) (Cantidad)</t>
  </si>
  <si>
    <t>tiphopcod</t>
  </si>
  <si>
    <t>tie_ope</t>
  </si>
  <si>
    <t>Tiempo de la Operación (HH:MM) (Cantidad)</t>
  </si>
  <si>
    <t>infopeusucrecod</t>
  </si>
  <si>
    <t>res_pat</t>
  </si>
  <si>
    <t>¿Resultado Patológico?</t>
  </si>
  <si>
    <t>infopecrefec</t>
  </si>
  <si>
    <t>des_res</t>
  </si>
  <si>
    <t>dim_cqxrespat</t>
  </si>
  <si>
    <t>Descripción de ¿Resultado Patológico?</t>
  </si>
  <si>
    <t>infopeusumodcod</t>
  </si>
  <si>
    <t>her_ope</t>
  </si>
  <si>
    <t>Código Tipo de Herida Operatoria</t>
  </si>
  <si>
    <t>infopemodfec</t>
  </si>
  <si>
    <t>des_her</t>
  </si>
  <si>
    <t>dim_cqxtipher</t>
  </si>
  <si>
    <t>Descripción de Código Tipo de Herida Operatoria</t>
  </si>
  <si>
    <t>desesocod</t>
  </si>
  <si>
    <t>infopeactmedopenum</t>
  </si>
  <si>
    <t>infopebtb</t>
  </si>
  <si>
    <t>numeric(1,0)</t>
  </si>
  <si>
    <t>infopenroges</t>
  </si>
  <si>
    <t>infopenropart</t>
  </si>
  <si>
    <t>cod_des</t>
  </si>
  <si>
    <t>Código Destino al Egreso de Sala de Operaciones</t>
  </si>
  <si>
    <t>infopecesaante</t>
  </si>
  <si>
    <t>des_des</t>
  </si>
  <si>
    <t>dim_cqxdesegrsop</t>
  </si>
  <si>
    <t>Descripción de Código Destino al Egreso de Sala de Operaciones</t>
  </si>
  <si>
    <t>infopetrabpart</t>
  </si>
  <si>
    <t>Número de Acto Médico</t>
  </si>
  <si>
    <t>infopeexpul</t>
  </si>
  <si>
    <t>inf_peb</t>
  </si>
  <si>
    <t>infopedares</t>
  </si>
  <si>
    <t>inf_rog</t>
  </si>
  <si>
    <t>inf_per</t>
  </si>
  <si>
    <t>inf_ces</t>
  </si>
  <si>
    <t>inf_tra</t>
  </si>
  <si>
    <t>inf_exp</t>
  </si>
  <si>
    <t>inf_are</t>
  </si>
  <si>
    <t>sol_fec</t>
  </si>
  <si>
    <t>sol_act</t>
  </si>
  <si>
    <t>NO ESTÁ LA TABLA EN EL PDF</t>
  </si>
  <si>
    <t>qtian10</t>
  </si>
  <si>
    <t>Descripción: Se almacenará el Informe Anestesiologo</t>
  </si>
  <si>
    <t>infopeinfane</t>
  </si>
  <si>
    <t>infopedurane</t>
  </si>
  <si>
    <t>sol_num</t>
  </si>
  <si>
    <t>infopeusucrecodane</t>
  </si>
  <si>
    <t>inf_ane</t>
  </si>
  <si>
    <t>Código de informe anestesiologo</t>
  </si>
  <si>
    <t>infopecrefecane</t>
  </si>
  <si>
    <t>dur_ane</t>
  </si>
  <si>
    <t>Duración anestesia</t>
  </si>
  <si>
    <t>infopemodfecane</t>
  </si>
  <si>
    <t>Código de usuario que crea</t>
  </si>
  <si>
    <t>infopeusumodcodane</t>
  </si>
  <si>
    <t>Fecha de creación</t>
  </si>
  <si>
    <t>infopeduranei</t>
  </si>
  <si>
    <t>Código de usuario que modifica</t>
  </si>
  <si>
    <t>infopeduranef</t>
  </si>
  <si>
    <t>Fecha de modificación</t>
  </si>
  <si>
    <t>infopedursal</t>
  </si>
  <si>
    <t>dur_ane_ini</t>
  </si>
  <si>
    <t>Duración anestesia Inicio</t>
  </si>
  <si>
    <t>infopedursali</t>
  </si>
  <si>
    <t>dur_ane_fin</t>
  </si>
  <si>
    <t>Duración anestesia Fin</t>
  </si>
  <si>
    <t>infopedursalf</t>
  </si>
  <si>
    <t>dur_sal</t>
  </si>
  <si>
    <t>Duración Sala</t>
  </si>
  <si>
    <t>infopeanedocidennum</t>
  </si>
  <si>
    <t>dur_sal_ini</t>
  </si>
  <si>
    <t>Duración Sala Inicio</t>
  </si>
  <si>
    <t>infopeanetipdoc</t>
  </si>
  <si>
    <t>dur_sal_fin</t>
  </si>
  <si>
    <t>Duración Sala Fin</t>
  </si>
  <si>
    <t>infopehiniope</t>
  </si>
  <si>
    <t>Numero de documento profesional</t>
  </si>
  <si>
    <t>infopehfinope</t>
  </si>
  <si>
    <t>Tipo de documento de profesional</t>
  </si>
  <si>
    <t>infopehdurope</t>
  </si>
  <si>
    <t>hor_ini_ope</t>
  </si>
  <si>
    <t>Hora Inicio Operacion</t>
  </si>
  <si>
    <t>infopeanedesope</t>
  </si>
  <si>
    <t>hor_fin_ope</t>
  </si>
  <si>
    <t>Hora fin Operacion</t>
  </si>
  <si>
    <t>dur_ope</t>
  </si>
  <si>
    <t>Hora Duracion de Operacion</t>
  </si>
  <si>
    <t>Destino de operacion</t>
  </si>
  <si>
    <t>Descripción de Destino de operacion</t>
  </si>
  <si>
    <t>qtiod10</t>
  </si>
  <si>
    <t>Descripción: Se almacenará información acerca de los Informes Operatorios - Diagnósticos</t>
  </si>
  <si>
    <t>conddiagcod</t>
  </si>
  <si>
    <t>infopediagcod</t>
  </si>
  <si>
    <t>character(7)</t>
  </si>
  <si>
    <t>sec_num</t>
  </si>
  <si>
    <t>tipodiagcod</t>
  </si>
  <si>
    <t>con_dia</t>
  </si>
  <si>
    <t>Código Condición Diagnóstico</t>
  </si>
  <si>
    <t>infopediagord</t>
  </si>
  <si>
    <t>des_con</t>
  </si>
  <si>
    <t>dim_condiag</t>
  </si>
  <si>
    <t>Descripción de Código Condición Diagnóstico</t>
  </si>
  <si>
    <t>cod_cie</t>
  </si>
  <si>
    <t>Código Diagnóstico</t>
  </si>
  <si>
    <t>des_cie</t>
  </si>
  <si>
    <t>dim_cie10</t>
  </si>
  <si>
    <t>Descripción de Código Diagnóstico</t>
  </si>
  <si>
    <t>tip_dia</t>
  </si>
  <si>
    <t>Código Tipo Diagnóstico</t>
  </si>
  <si>
    <t>des_tip</t>
  </si>
  <si>
    <t>dim_tipdx</t>
  </si>
  <si>
    <t>Descripción de Código Tipo Diagnóstico</t>
  </si>
  <si>
    <t>ord_dia</t>
  </si>
  <si>
    <t>Número de Orden del Diagnóstico</t>
  </si>
  <si>
    <t>qtioo10</t>
  </si>
  <si>
    <t>Descripción: Se almacenará información acerca de los Informes Operatorios - Operaciones</t>
  </si>
  <si>
    <t>dim cas-red</t>
  </si>
  <si>
    <t>infopecpscod</t>
  </si>
  <si>
    <t>infopecpsoricenasicod</t>
  </si>
  <si>
    <t>infopecpscenasicod</t>
  </si>
  <si>
    <t>cod_cps</t>
  </si>
  <si>
    <t>Código de Procedimiento, Examen o Perfil</t>
  </si>
  <si>
    <t>infopecpsarehoscod</t>
  </si>
  <si>
    <t>cps_ori</t>
  </si>
  <si>
    <t>Código Origen Centro Asistencial Especialidad Quirúrgica Operación</t>
  </si>
  <si>
    <t>infopecpsservhoscod</t>
  </si>
  <si>
    <t>cps_cas</t>
  </si>
  <si>
    <t>Código Centro Asistencial Especialidad Quirúrgica Operación</t>
  </si>
  <si>
    <t>cps_are</t>
  </si>
  <si>
    <t>Código Area Hospitalaria Especialidad Quirúrgica Operación</t>
  </si>
  <si>
    <t>Descripción de Código Area Hospitalaria Especialidad Quirúrgica Operación</t>
  </si>
  <si>
    <t>cps_ser</t>
  </si>
  <si>
    <t>Código Especialidad Quirúrgica (Servicio) Operación</t>
  </si>
  <si>
    <t>Descripción de Código Especialidad Quirúrgica (Servicio) Operación</t>
  </si>
  <si>
    <t>qtiaa10</t>
  </si>
  <si>
    <t>Descripción: Se almacenará información de anestesias</t>
  </si>
  <si>
    <t>infopeanesecue</t>
  </si>
  <si>
    <t>infopeaneanecod</t>
  </si>
  <si>
    <t>infopeaneestregcod</t>
  </si>
  <si>
    <t>sec_ane</t>
  </si>
  <si>
    <t>Secuencia de Anestesia</t>
  </si>
  <si>
    <t>cod_ane</t>
  </si>
  <si>
    <t>Código de Anestesia</t>
  </si>
  <si>
    <t>des_ane</t>
  </si>
  <si>
    <t>Descripción de Código de Anestesia</t>
  </si>
  <si>
    <t>Estado de Registro</t>
  </si>
  <si>
    <t>qtsoo10</t>
  </si>
  <si>
    <t xml:space="preserve">Descripción: Se almacenará información de Solicitudes de Salas de Operaciones - Operaciones </t>
  </si>
  <si>
    <t>solopecpscod</t>
  </si>
  <si>
    <t>solopeflgpri</t>
  </si>
  <si>
    <t>solopepqxcpscod</t>
  </si>
  <si>
    <t>solopepqxsecuen</t>
  </si>
  <si>
    <t>flg_pri</t>
  </si>
  <si>
    <t>Indicador Procedimiento Quiurgico Principal</t>
  </si>
  <si>
    <t>solopesolmatdocnum</t>
  </si>
  <si>
    <t>paq_qui</t>
  </si>
  <si>
    <t>Código de Paquete Quirurgico Operacion</t>
  </si>
  <si>
    <t>solopegrdcomopecod</t>
  </si>
  <si>
    <t>paq_sec</t>
  </si>
  <si>
    <t>Número de Secuencia del Paquete</t>
  </si>
  <si>
    <t>sol_med</t>
  </si>
  <si>
    <t>Número de Solicitud de Medicamento</t>
  </si>
  <si>
    <t>grd_com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</si>
</sst>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/>
    <font>
      <b/>
      <sz val="8.0"/>
      <color rgb="FFFFFFFF"/>
      <name val="ARIAL"/>
    </font>
    <font>
      <color theme="1"/>
      <name val="Arial"/>
    </font>
    <font>
      <sz val="8.0"/>
      <color theme="1"/>
      <name val="Arial"/>
    </font>
    <font>
      <sz val="8.0"/>
      <color rgb="FFC9211E"/>
      <name val="Arial"/>
    </font>
    <font>
      <b/>
      <color rgb="FFFF0000"/>
      <name val="Arial"/>
    </font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3465A4"/>
        <bgColor rgb="FF3465A4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/>
    </xf>
    <xf borderId="4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vertical="bottom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/>
    </xf>
    <xf borderId="1" fillId="0" fontId="4" numFmtId="0" xfId="0" applyBorder="1" applyFont="1"/>
    <xf borderId="4" fillId="0" fontId="4" numFmtId="0" xfId="0" applyBorder="1" applyFont="1"/>
    <xf borderId="0" fillId="5" fontId="6" numFmtId="0" xfId="0" applyAlignment="1" applyFill="1" applyFont="1">
      <alignment horizontal="left" vertical="bottom"/>
    </xf>
    <xf borderId="0" fillId="0" fontId="7" numFmtId="0" xfId="0" applyFont="1"/>
    <xf borderId="5" fillId="0" fontId="8" numFmtId="0" xfId="0" applyAlignment="1" applyBorder="1" applyFont="1">
      <alignment horizontal="left" vertical="top"/>
    </xf>
    <xf borderId="6" fillId="0" fontId="8" numFmtId="0" xfId="0" applyAlignment="1" applyBorder="1" applyFont="1">
      <alignment horizontal="left" vertical="top"/>
    </xf>
    <xf borderId="0" fillId="0" fontId="8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5" max="5" width="7.38"/>
    <col customWidth="1" min="6" max="6" width="33.8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/>
    <row r="3" ht="15.75" customHeight="1">
      <c r="B3" s="1" t="s">
        <v>0</v>
      </c>
      <c r="C3" s="2" t="s">
        <v>1</v>
      </c>
      <c r="D3" s="2"/>
      <c r="E3" s="2"/>
      <c r="F3" s="2"/>
      <c r="G3" s="2"/>
      <c r="H3" s="3"/>
    </row>
    <row r="4" ht="15.75" customHeight="1">
      <c r="B4" s="1" t="s">
        <v>2</v>
      </c>
      <c r="C4" s="4"/>
      <c r="D4" s="4"/>
      <c r="E4" s="4"/>
      <c r="F4" s="4"/>
      <c r="G4" s="4"/>
      <c r="H4" s="5"/>
      <c r="J4" s="6" t="s">
        <v>3</v>
      </c>
      <c r="K4" s="6" t="s">
        <v>4</v>
      </c>
      <c r="L4" s="6" t="s">
        <v>5</v>
      </c>
    </row>
    <row r="5" ht="15.75" customHeight="1"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4"/>
      <c r="H5" s="5"/>
      <c r="J5" s="9" t="s">
        <v>11</v>
      </c>
      <c r="K5" s="10" t="s">
        <v>12</v>
      </c>
      <c r="L5" s="10" t="s">
        <v>13</v>
      </c>
    </row>
    <row r="6" ht="15.75" customHeight="1">
      <c r="B6" s="11" t="s">
        <v>14</v>
      </c>
      <c r="C6" s="12" t="s">
        <v>12</v>
      </c>
      <c r="D6" s="11" t="s">
        <v>15</v>
      </c>
      <c r="E6" s="11" t="s">
        <v>16</v>
      </c>
      <c r="F6" s="13" t="str">
        <f t="shared" ref="F6:F61" si="1">VLOOKUP(C6,$K$4:$L$83,2,0)</f>
        <v>Código Origen Centro Asistencal</v>
      </c>
      <c r="G6" s="4"/>
      <c r="H6" s="5"/>
      <c r="J6" s="9" t="s">
        <v>17</v>
      </c>
      <c r="K6" s="10" t="s">
        <v>18</v>
      </c>
      <c r="L6" s="10" t="s">
        <v>19</v>
      </c>
    </row>
    <row r="7" ht="15.75" customHeight="1">
      <c r="B7" s="11" t="s">
        <v>14</v>
      </c>
      <c r="C7" s="12" t="s">
        <v>18</v>
      </c>
      <c r="D7" s="11" t="s">
        <v>20</v>
      </c>
      <c r="E7" s="11" t="s">
        <v>16</v>
      </c>
      <c r="F7" s="13" t="str">
        <f t="shared" si="1"/>
        <v>Código Centro Asistencial</v>
      </c>
      <c r="G7" s="4"/>
      <c r="H7" s="5"/>
      <c r="J7" s="9" t="s">
        <v>21</v>
      </c>
      <c r="K7" s="10" t="s">
        <v>22</v>
      </c>
      <c r="L7" s="10" t="s">
        <v>23</v>
      </c>
    </row>
    <row r="8" ht="15.75" customHeight="1">
      <c r="B8" s="11" t="s">
        <v>14</v>
      </c>
      <c r="C8" s="12" t="s">
        <v>24</v>
      </c>
      <c r="D8" s="11" t="s">
        <v>25</v>
      </c>
      <c r="E8" s="11" t="s">
        <v>16</v>
      </c>
      <c r="F8" s="13" t="str">
        <f t="shared" si="1"/>
        <v>Número Solicitud de Sala de Operación</v>
      </c>
      <c r="G8" s="4"/>
      <c r="H8" s="5"/>
      <c r="J8" s="9" t="s">
        <v>26</v>
      </c>
      <c r="K8" s="10" t="s">
        <v>22</v>
      </c>
      <c r="L8" s="10" t="s">
        <v>27</v>
      </c>
    </row>
    <row r="9" ht="15.75" customHeight="1">
      <c r="B9" s="11" t="s">
        <v>28</v>
      </c>
      <c r="C9" s="12" t="s">
        <v>29</v>
      </c>
      <c r="D9" s="11" t="s">
        <v>30</v>
      </c>
      <c r="E9" s="11" t="s">
        <v>16</v>
      </c>
      <c r="F9" s="13" t="str">
        <f t="shared" si="1"/>
        <v>Fecha Solicitud de Sala de Operación</v>
      </c>
      <c r="G9" s="4"/>
      <c r="H9" s="5"/>
      <c r="J9" s="9" t="s">
        <v>31</v>
      </c>
      <c r="K9" s="10" t="s">
        <v>22</v>
      </c>
      <c r="L9" s="10" t="s">
        <v>32</v>
      </c>
    </row>
    <row r="10" ht="15.75" customHeight="1">
      <c r="B10" s="11" t="s">
        <v>28</v>
      </c>
      <c r="C10" s="12" t="s">
        <v>33</v>
      </c>
      <c r="D10" s="11" t="s">
        <v>25</v>
      </c>
      <c r="E10" s="11" t="s">
        <v>16</v>
      </c>
      <c r="F10" s="13" t="str">
        <f t="shared" si="1"/>
        <v>Número de Acto Médico Origen Solicitud</v>
      </c>
      <c r="G10" s="4"/>
      <c r="H10" s="5"/>
      <c r="J10" s="9" t="s">
        <v>34</v>
      </c>
      <c r="K10" s="10" t="s">
        <v>24</v>
      </c>
      <c r="L10" s="10" t="s">
        <v>35</v>
      </c>
    </row>
    <row r="11" ht="15.75" customHeight="1">
      <c r="B11" s="11" t="s">
        <v>28</v>
      </c>
      <c r="C11" s="12" t="s">
        <v>36</v>
      </c>
      <c r="D11" s="11" t="s">
        <v>15</v>
      </c>
      <c r="E11" s="11" t="s">
        <v>16</v>
      </c>
      <c r="F11" s="13" t="str">
        <f t="shared" si="1"/>
        <v>Código Tipo Documento de Identidad Médico Solicita</v>
      </c>
      <c r="G11" s="4"/>
      <c r="H11" s="5"/>
      <c r="J11" s="9" t="s">
        <v>37</v>
      </c>
      <c r="K11" s="10" t="s">
        <v>29</v>
      </c>
      <c r="L11" s="10" t="s">
        <v>38</v>
      </c>
    </row>
    <row r="12" ht="15.75" customHeight="1">
      <c r="B12" s="11" t="s">
        <v>28</v>
      </c>
      <c r="C12" s="12" t="s">
        <v>39</v>
      </c>
      <c r="D12" s="14" t="s">
        <v>40</v>
      </c>
      <c r="E12" s="11" t="s">
        <v>16</v>
      </c>
      <c r="F12" s="13" t="str">
        <f t="shared" si="1"/>
        <v>Número Documento de Identidad Médico Solicita</v>
      </c>
      <c r="G12" s="4"/>
      <c r="H12" s="5"/>
      <c r="J12" s="9" t="s">
        <v>41</v>
      </c>
      <c r="K12" s="10" t="s">
        <v>33</v>
      </c>
      <c r="L12" s="10" t="s">
        <v>42</v>
      </c>
    </row>
    <row r="13" ht="15.75" customHeight="1">
      <c r="B13" s="11" t="s">
        <v>28</v>
      </c>
      <c r="C13" s="12" t="s">
        <v>43</v>
      </c>
      <c r="D13" s="14" t="s">
        <v>30</v>
      </c>
      <c r="E13" s="11" t="s">
        <v>16</v>
      </c>
      <c r="F13" s="13" t="str">
        <f t="shared" si="1"/>
        <v>Fecha Solicitada de Operación</v>
      </c>
      <c r="G13" s="4"/>
      <c r="H13" s="5"/>
      <c r="J13" s="9" t="s">
        <v>44</v>
      </c>
      <c r="K13" s="10" t="s">
        <v>36</v>
      </c>
      <c r="L13" s="10" t="s">
        <v>45</v>
      </c>
    </row>
    <row r="14" ht="15.75" customHeight="1">
      <c r="B14" s="11" t="s">
        <v>28</v>
      </c>
      <c r="C14" s="12" t="s">
        <v>46</v>
      </c>
      <c r="D14" s="14" t="s">
        <v>30</v>
      </c>
      <c r="E14" s="11" t="s">
        <v>16</v>
      </c>
      <c r="F14" s="13" t="str">
        <f t="shared" si="1"/>
        <v>Fecha Programada de Operación</v>
      </c>
      <c r="G14" s="4"/>
      <c r="H14" s="5"/>
      <c r="J14" s="9" t="s">
        <v>47</v>
      </c>
      <c r="K14" s="10" t="s">
        <v>39</v>
      </c>
      <c r="L14" s="10" t="s">
        <v>48</v>
      </c>
    </row>
    <row r="15" ht="15.75" customHeight="1">
      <c r="B15" s="11" t="s">
        <v>28</v>
      </c>
      <c r="C15" s="12" t="s">
        <v>49</v>
      </c>
      <c r="D15" s="14" t="s">
        <v>50</v>
      </c>
      <c r="E15" s="11" t="s">
        <v>16</v>
      </c>
      <c r="F15" s="13" t="str">
        <f t="shared" si="1"/>
        <v>Hora Programada de Operación</v>
      </c>
      <c r="G15" s="4"/>
      <c r="H15" s="5"/>
      <c r="J15" s="9" t="s">
        <v>51</v>
      </c>
      <c r="K15" s="10" t="s">
        <v>43</v>
      </c>
      <c r="L15" s="10" t="s">
        <v>52</v>
      </c>
    </row>
    <row r="16" ht="15.75" customHeight="1">
      <c r="B16" s="11" t="s">
        <v>28</v>
      </c>
      <c r="C16" s="12" t="s">
        <v>53</v>
      </c>
      <c r="D16" s="14" t="s">
        <v>15</v>
      </c>
      <c r="E16" s="11" t="s">
        <v>16</v>
      </c>
      <c r="F16" s="13" t="str">
        <f t="shared" si="1"/>
        <v>Código Estado Físico Pre-Quirúrgico (ASA) (Anestesiólogo)</v>
      </c>
      <c r="G16" s="4"/>
      <c r="H16" s="5"/>
      <c r="J16" s="9" t="s">
        <v>54</v>
      </c>
      <c r="K16" s="10" t="s">
        <v>46</v>
      </c>
      <c r="L16" s="10" t="s">
        <v>55</v>
      </c>
    </row>
    <row r="17" ht="15.75" customHeight="1">
      <c r="B17" s="11" t="s">
        <v>28</v>
      </c>
      <c r="C17" s="12" t="s">
        <v>56</v>
      </c>
      <c r="D17" s="14" t="s">
        <v>15</v>
      </c>
      <c r="E17" s="11" t="s">
        <v>16</v>
      </c>
      <c r="F17" s="13" t="str">
        <f t="shared" si="1"/>
        <v>Código Estado Solicitud de Operación</v>
      </c>
      <c r="G17" s="4"/>
      <c r="H17" s="5"/>
      <c r="J17" s="9" t="s">
        <v>57</v>
      </c>
      <c r="K17" s="10" t="s">
        <v>49</v>
      </c>
      <c r="L17" s="10" t="s">
        <v>58</v>
      </c>
    </row>
    <row r="18" ht="15.75" customHeight="1">
      <c r="B18" s="11" t="s">
        <v>28</v>
      </c>
      <c r="C18" s="12" t="s">
        <v>59</v>
      </c>
      <c r="D18" s="14" t="s">
        <v>15</v>
      </c>
      <c r="E18" s="11" t="s">
        <v>16</v>
      </c>
      <c r="F18" s="13" t="str">
        <f t="shared" si="1"/>
        <v>Código Estado del Registro</v>
      </c>
      <c r="G18" s="4"/>
      <c r="H18" s="5"/>
      <c r="J18" s="9" t="s">
        <v>60</v>
      </c>
      <c r="K18" s="10" t="s">
        <v>53</v>
      </c>
      <c r="L18" s="10" t="s">
        <v>61</v>
      </c>
    </row>
    <row r="19" ht="15.75" customHeight="1">
      <c r="B19" s="11" t="s">
        <v>28</v>
      </c>
      <c r="C19" s="12" t="s">
        <v>62</v>
      </c>
      <c r="D19" s="14" t="s">
        <v>40</v>
      </c>
      <c r="E19" s="11" t="s">
        <v>16</v>
      </c>
      <c r="F19" s="13" t="str">
        <f t="shared" si="1"/>
        <v>Código Usuario Registra</v>
      </c>
      <c r="G19" s="4"/>
      <c r="H19" s="5"/>
      <c r="J19" s="9" t="s">
        <v>63</v>
      </c>
      <c r="K19" s="10" t="s">
        <v>64</v>
      </c>
      <c r="L19" s="10" t="s">
        <v>65</v>
      </c>
    </row>
    <row r="20" ht="15.75" customHeight="1">
      <c r="B20" s="11" t="s">
        <v>28</v>
      </c>
      <c r="C20" s="12" t="s">
        <v>66</v>
      </c>
      <c r="D20" s="14" t="s">
        <v>50</v>
      </c>
      <c r="E20" s="11" t="s">
        <v>16</v>
      </c>
      <c r="F20" s="13" t="str">
        <f t="shared" si="1"/>
        <v>Fecha y Hora Registra</v>
      </c>
      <c r="G20" s="4"/>
      <c r="H20" s="5"/>
      <c r="J20" s="9" t="s">
        <v>67</v>
      </c>
      <c r="K20" s="10" t="s">
        <v>56</v>
      </c>
      <c r="L20" s="10" t="s">
        <v>68</v>
      </c>
    </row>
    <row r="21" ht="15.75" customHeight="1">
      <c r="B21" s="11" t="s">
        <v>28</v>
      </c>
      <c r="C21" s="12" t="s">
        <v>69</v>
      </c>
      <c r="D21" s="14" t="s">
        <v>40</v>
      </c>
      <c r="E21" s="11" t="s">
        <v>16</v>
      </c>
      <c r="F21" s="13" t="str">
        <f t="shared" si="1"/>
        <v>Código Usuario Modifica</v>
      </c>
      <c r="G21" s="4"/>
      <c r="H21" s="5"/>
      <c r="J21" s="9" t="s">
        <v>70</v>
      </c>
      <c r="K21" s="10" t="s">
        <v>71</v>
      </c>
      <c r="L21" s="10" t="s">
        <v>72</v>
      </c>
    </row>
    <row r="22" ht="15.75" customHeight="1">
      <c r="B22" s="11" t="s">
        <v>28</v>
      </c>
      <c r="C22" s="12" t="s">
        <v>73</v>
      </c>
      <c r="D22" s="14" t="s">
        <v>50</v>
      </c>
      <c r="E22" s="11" t="s">
        <v>16</v>
      </c>
      <c r="F22" s="13" t="str">
        <f t="shared" si="1"/>
        <v>Fecha y Hora Modifica</v>
      </c>
      <c r="G22" s="4"/>
      <c r="H22" s="5"/>
      <c r="J22" s="9" t="s">
        <v>74</v>
      </c>
      <c r="K22" s="10" t="s">
        <v>59</v>
      </c>
      <c r="L22" s="10" t="s">
        <v>75</v>
      </c>
    </row>
    <row r="23" ht="15.75" customHeight="1">
      <c r="B23" s="11" t="s">
        <v>28</v>
      </c>
      <c r="C23" s="12" t="s">
        <v>76</v>
      </c>
      <c r="D23" s="14" t="s">
        <v>77</v>
      </c>
      <c r="E23" s="11" t="s">
        <v>16</v>
      </c>
      <c r="F23" s="13" t="str">
        <f t="shared" si="1"/>
        <v>Código Centro Quirúrgico para Operación</v>
      </c>
      <c r="G23" s="4"/>
      <c r="H23" s="5"/>
      <c r="J23" s="9" t="s">
        <v>78</v>
      </c>
      <c r="K23" s="10" t="s">
        <v>79</v>
      </c>
      <c r="L23" s="10" t="s">
        <v>80</v>
      </c>
    </row>
    <row r="24" ht="15.75" customHeight="1">
      <c r="B24" s="11" t="s">
        <v>28</v>
      </c>
      <c r="C24" s="12" t="s">
        <v>81</v>
      </c>
      <c r="D24" s="14" t="s">
        <v>77</v>
      </c>
      <c r="E24" s="11" t="s">
        <v>16</v>
      </c>
      <c r="F24" s="13" t="str">
        <f t="shared" si="1"/>
        <v>Código Sala de Operaciones</v>
      </c>
      <c r="G24" s="4"/>
      <c r="H24" s="5"/>
      <c r="J24" s="9" t="s">
        <v>82</v>
      </c>
      <c r="K24" s="10" t="s">
        <v>62</v>
      </c>
      <c r="L24" s="10" t="s">
        <v>83</v>
      </c>
    </row>
    <row r="25" ht="15.75" customHeight="1">
      <c r="B25" s="11" t="s">
        <v>28</v>
      </c>
      <c r="C25" s="12" t="s">
        <v>84</v>
      </c>
      <c r="D25" s="14" t="s">
        <v>50</v>
      </c>
      <c r="E25" s="11" t="s">
        <v>16</v>
      </c>
      <c r="F25" s="13" t="str">
        <f t="shared" si="1"/>
        <v>Tiempo Estimado de Ocupación Sala de Operaciones (Cantidad Horas)</v>
      </c>
      <c r="G25" s="4"/>
      <c r="H25" s="5"/>
      <c r="J25" s="9" t="s">
        <v>85</v>
      </c>
      <c r="K25" s="10" t="s">
        <v>66</v>
      </c>
      <c r="L25" s="10" t="s">
        <v>86</v>
      </c>
    </row>
    <row r="26" ht="15.75" customHeight="1">
      <c r="B26" s="11" t="s">
        <v>28</v>
      </c>
      <c r="C26" s="12" t="s">
        <v>87</v>
      </c>
      <c r="D26" s="14" t="s">
        <v>77</v>
      </c>
      <c r="E26" s="11" t="s">
        <v>16</v>
      </c>
      <c r="F26" s="13" t="str">
        <f t="shared" si="1"/>
        <v>Código Area Hospitalaria Solicita</v>
      </c>
      <c r="G26" s="4"/>
      <c r="H26" s="5"/>
      <c r="J26" s="9" t="s">
        <v>88</v>
      </c>
      <c r="K26" s="10" t="s">
        <v>69</v>
      </c>
      <c r="L26" s="10" t="s">
        <v>89</v>
      </c>
    </row>
    <row r="27" ht="15.75" customHeight="1">
      <c r="B27" s="11" t="s">
        <v>28</v>
      </c>
      <c r="C27" s="12" t="s">
        <v>90</v>
      </c>
      <c r="D27" s="14" t="s">
        <v>20</v>
      </c>
      <c r="E27" s="11" t="s">
        <v>16</v>
      </c>
      <c r="F27" s="13" t="str">
        <f t="shared" si="1"/>
        <v>Código Servicio Hospitalario Solicita</v>
      </c>
      <c r="G27" s="4"/>
      <c r="H27" s="5"/>
      <c r="J27" s="9" t="s">
        <v>91</v>
      </c>
      <c r="K27" s="10" t="s">
        <v>73</v>
      </c>
      <c r="L27" s="10" t="s">
        <v>92</v>
      </c>
    </row>
    <row r="28" ht="15.75" customHeight="1">
      <c r="B28" s="11" t="s">
        <v>28</v>
      </c>
      <c r="C28" s="12" t="s">
        <v>93</v>
      </c>
      <c r="D28" s="14" t="s">
        <v>94</v>
      </c>
      <c r="E28" s="11" t="s">
        <v>16</v>
      </c>
      <c r="F28" s="13" t="str">
        <f t="shared" si="1"/>
        <v>Número de Orden de la Operación</v>
      </c>
      <c r="G28" s="4"/>
      <c r="H28" s="5"/>
      <c r="J28" s="9" t="s">
        <v>95</v>
      </c>
      <c r="K28" s="10" t="s">
        <v>76</v>
      </c>
      <c r="L28" s="10" t="s">
        <v>96</v>
      </c>
    </row>
    <row r="29" ht="15.75" customHeight="1">
      <c r="B29" s="11" t="s">
        <v>28</v>
      </c>
      <c r="C29" s="12" t="s">
        <v>97</v>
      </c>
      <c r="D29" s="14" t="s">
        <v>77</v>
      </c>
      <c r="E29" s="11" t="s">
        <v>16</v>
      </c>
      <c r="F29" s="13" t="str">
        <f t="shared" si="1"/>
        <v>Código de la Emergencia Solicita</v>
      </c>
      <c r="G29" s="4"/>
      <c r="H29" s="5"/>
      <c r="J29" s="9" t="s">
        <v>98</v>
      </c>
      <c r="K29" s="10" t="s">
        <v>99</v>
      </c>
      <c r="L29" s="10" t="s">
        <v>100</v>
      </c>
    </row>
    <row r="30" ht="15.75" customHeight="1">
      <c r="B30" s="11" t="s">
        <v>28</v>
      </c>
      <c r="C30" s="12" t="s">
        <v>101</v>
      </c>
      <c r="D30" s="14" t="s">
        <v>77</v>
      </c>
      <c r="E30" s="11" t="s">
        <v>16</v>
      </c>
      <c r="F30" s="13" t="str">
        <f t="shared" si="1"/>
        <v>Código Area Hospitalaria Solicitada ('05')</v>
      </c>
      <c r="G30" s="4"/>
      <c r="H30" s="5"/>
      <c r="J30" s="9" t="s">
        <v>102</v>
      </c>
      <c r="K30" s="10" t="s">
        <v>81</v>
      </c>
      <c r="L30" s="10" t="s">
        <v>103</v>
      </c>
    </row>
    <row r="31" ht="15.75" customHeight="1">
      <c r="B31" s="11" t="s">
        <v>28</v>
      </c>
      <c r="C31" s="12" t="s">
        <v>104</v>
      </c>
      <c r="D31" s="14" t="s">
        <v>20</v>
      </c>
      <c r="E31" s="11" t="s">
        <v>16</v>
      </c>
      <c r="F31" s="13" t="str">
        <f t="shared" si="1"/>
        <v>Código Especialidad Quirúrgica (Servicio) Solicitada</v>
      </c>
      <c r="G31" s="4"/>
      <c r="H31" s="5"/>
      <c r="J31" s="9" t="s">
        <v>105</v>
      </c>
      <c r="K31" s="10" t="s">
        <v>106</v>
      </c>
      <c r="L31" s="10" t="s">
        <v>107</v>
      </c>
    </row>
    <row r="32" ht="15.75" customHeight="1">
      <c r="B32" s="11" t="s">
        <v>28</v>
      </c>
      <c r="C32" s="12" t="s">
        <v>108</v>
      </c>
      <c r="D32" s="14" t="s">
        <v>15</v>
      </c>
      <c r="E32" s="11" t="s">
        <v>16</v>
      </c>
      <c r="F32" s="13" t="str">
        <f t="shared" si="1"/>
        <v>Código Tipo de Operación</v>
      </c>
      <c r="G32" s="4"/>
      <c r="H32" s="5"/>
      <c r="J32" s="9" t="s">
        <v>109</v>
      </c>
      <c r="K32" s="10" t="s">
        <v>84</v>
      </c>
      <c r="L32" s="10" t="s">
        <v>110</v>
      </c>
    </row>
    <row r="33" ht="15.75" customHeight="1">
      <c r="B33" s="11" t="s">
        <v>28</v>
      </c>
      <c r="C33" s="12" t="s">
        <v>111</v>
      </c>
      <c r="D33" s="14" t="s">
        <v>25</v>
      </c>
      <c r="E33" s="11" t="s">
        <v>16</v>
      </c>
      <c r="F33" s="13" t="str">
        <f t="shared" si="1"/>
        <v>Número de Acto Médico de la Operación</v>
      </c>
      <c r="G33" s="4"/>
      <c r="H33" s="5"/>
      <c r="J33" s="9" t="s">
        <v>112</v>
      </c>
      <c r="K33" s="10" t="s">
        <v>87</v>
      </c>
      <c r="L33" s="10" t="s">
        <v>113</v>
      </c>
    </row>
    <row r="34" ht="15.75" customHeight="1">
      <c r="B34" s="11" t="s">
        <v>28</v>
      </c>
      <c r="C34" s="12" t="s">
        <v>114</v>
      </c>
      <c r="D34" s="14" t="s">
        <v>15</v>
      </c>
      <c r="E34" s="11" t="s">
        <v>16</v>
      </c>
      <c r="F34" s="13" t="str">
        <f t="shared" si="1"/>
        <v>Código Prioridad de la Operación</v>
      </c>
      <c r="G34" s="4"/>
      <c r="H34" s="5"/>
      <c r="J34" s="9" t="s">
        <v>115</v>
      </c>
      <c r="K34" s="10" t="s">
        <v>116</v>
      </c>
      <c r="L34" s="10" t="s">
        <v>117</v>
      </c>
    </row>
    <row r="35" ht="15.75" customHeight="1">
      <c r="B35" s="11" t="s">
        <v>28</v>
      </c>
      <c r="C35" s="12" t="s">
        <v>118</v>
      </c>
      <c r="D35" s="14" t="s">
        <v>15</v>
      </c>
      <c r="E35" s="11" t="s">
        <v>16</v>
      </c>
      <c r="F35" s="13" t="str">
        <f t="shared" si="1"/>
        <v>Código Riesgo Quirúrgico (GOLDMAN) (Cardiólogo)</v>
      </c>
      <c r="G35" s="4"/>
      <c r="H35" s="5"/>
      <c r="J35" s="9" t="s">
        <v>119</v>
      </c>
      <c r="K35" s="10" t="s">
        <v>90</v>
      </c>
      <c r="L35" s="10" t="s">
        <v>120</v>
      </c>
    </row>
    <row r="36" ht="15.75" customHeight="1">
      <c r="B36" s="11" t="s">
        <v>28</v>
      </c>
      <c r="C36" s="12" t="s">
        <v>121</v>
      </c>
      <c r="D36" s="14" t="s">
        <v>94</v>
      </c>
      <c r="E36" s="11" t="s">
        <v>16</v>
      </c>
      <c r="F36" s="13" t="str">
        <f t="shared" si="1"/>
        <v>Cantidad Dias Hospitalización Pre-Quirúrgico</v>
      </c>
      <c r="G36" s="4"/>
      <c r="H36" s="5"/>
      <c r="J36" s="9" t="s">
        <v>122</v>
      </c>
      <c r="K36" s="10" t="s">
        <v>123</v>
      </c>
      <c r="L36" s="10" t="s">
        <v>124</v>
      </c>
    </row>
    <row r="37" ht="15.75" customHeight="1">
      <c r="B37" s="11" t="s">
        <v>28</v>
      </c>
      <c r="C37" s="12" t="s">
        <v>125</v>
      </c>
      <c r="D37" s="14" t="s">
        <v>94</v>
      </c>
      <c r="E37" s="11" t="s">
        <v>16</v>
      </c>
      <c r="F37" s="13" t="str">
        <f t="shared" si="1"/>
        <v>Cantidad Dias Hospitalización Pos-Quirúrgico</v>
      </c>
      <c r="G37" s="4"/>
      <c r="H37" s="5"/>
      <c r="J37" s="9" t="s">
        <v>126</v>
      </c>
      <c r="K37" s="10" t="s">
        <v>93</v>
      </c>
      <c r="L37" s="10" t="s">
        <v>127</v>
      </c>
    </row>
    <row r="38" ht="15.75" customHeight="1">
      <c r="B38" s="11" t="s">
        <v>28</v>
      </c>
      <c r="C38" s="12" t="s">
        <v>128</v>
      </c>
      <c r="D38" s="14" t="s">
        <v>77</v>
      </c>
      <c r="E38" s="11" t="s">
        <v>16</v>
      </c>
      <c r="F38" s="13" t="str">
        <f t="shared" si="1"/>
        <v>Código Motivo de Suspensión de Operación</v>
      </c>
      <c r="G38" s="4"/>
      <c r="H38" s="5"/>
      <c r="J38" s="9" t="s">
        <v>129</v>
      </c>
      <c r="K38" s="10" t="s">
        <v>97</v>
      </c>
      <c r="L38" s="10" t="s">
        <v>130</v>
      </c>
    </row>
    <row r="39" ht="15.75" customHeight="1">
      <c r="B39" s="11" t="s">
        <v>28</v>
      </c>
      <c r="C39" s="12" t="s">
        <v>131</v>
      </c>
      <c r="D39" s="14" t="s">
        <v>15</v>
      </c>
      <c r="E39" s="11" t="s">
        <v>16</v>
      </c>
      <c r="F39" s="13" t="str">
        <f t="shared" si="1"/>
        <v>Código Tipo de Anestesia</v>
      </c>
      <c r="G39" s="4"/>
      <c r="H39" s="5"/>
      <c r="J39" s="9" t="s">
        <v>132</v>
      </c>
      <c r="K39" s="10" t="s">
        <v>133</v>
      </c>
      <c r="L39" s="10" t="s">
        <v>134</v>
      </c>
    </row>
    <row r="40" ht="15.75" customHeight="1">
      <c r="B40" s="11" t="s">
        <v>28</v>
      </c>
      <c r="C40" s="12" t="s">
        <v>135</v>
      </c>
      <c r="D40" s="14" t="s">
        <v>15</v>
      </c>
      <c r="E40" s="11" t="s">
        <v>16</v>
      </c>
      <c r="F40" s="13" t="str">
        <f t="shared" si="1"/>
        <v>MOPRI - ¿Tiene Resultados de Exámenes de Laboratorio? (0=No/1=Si/2=No Requiere)</v>
      </c>
      <c r="G40" s="4"/>
      <c r="H40" s="5"/>
      <c r="J40" s="9" t="s">
        <v>136</v>
      </c>
      <c r="K40" s="10" t="s">
        <v>101</v>
      </c>
      <c r="L40" s="10" t="s">
        <v>137</v>
      </c>
    </row>
    <row r="41" ht="15.75" customHeight="1">
      <c r="B41" s="11" t="s">
        <v>28</v>
      </c>
      <c r="C41" s="12" t="s">
        <v>138</v>
      </c>
      <c r="D41" s="14" t="s">
        <v>15</v>
      </c>
      <c r="E41" s="11" t="s">
        <v>16</v>
      </c>
      <c r="F41" s="13" t="str">
        <f t="shared" si="1"/>
        <v>MOPRI - ¿Tiene Riesgo Quirúrgico? (0=No/1=Si/2=No Requiere)</v>
      </c>
      <c r="G41" s="4"/>
      <c r="H41" s="5"/>
      <c r="J41" s="9" t="s">
        <v>139</v>
      </c>
      <c r="K41" s="10" t="s">
        <v>140</v>
      </c>
      <c r="L41" s="10" t="s">
        <v>141</v>
      </c>
    </row>
    <row r="42" ht="15.75" customHeight="1">
      <c r="B42" s="11" t="s">
        <v>28</v>
      </c>
      <c r="C42" s="12" t="s">
        <v>142</v>
      </c>
      <c r="D42" s="14" t="s">
        <v>15</v>
      </c>
      <c r="E42" s="11" t="s">
        <v>16</v>
      </c>
      <c r="F42" s="13" t="str">
        <f t="shared" si="1"/>
        <v>MOPRI - ¿Tiene Riesgo Neumológico? (0=No/1=Si/2=No Requiere)</v>
      </c>
      <c r="G42" s="4"/>
      <c r="H42" s="5"/>
      <c r="J42" s="9" t="s">
        <v>143</v>
      </c>
      <c r="K42" s="10" t="s">
        <v>104</v>
      </c>
      <c r="L42" s="10" t="s">
        <v>144</v>
      </c>
    </row>
    <row r="43" ht="15.75" customHeight="1">
      <c r="B43" s="11" t="s">
        <v>28</v>
      </c>
      <c r="C43" s="12" t="s">
        <v>145</v>
      </c>
      <c r="D43" s="14" t="s">
        <v>15</v>
      </c>
      <c r="E43" s="11" t="s">
        <v>16</v>
      </c>
      <c r="F43" s="13" t="str">
        <f t="shared" si="1"/>
        <v>MOPRI - ¿Tiene Consentimiento Informado? (0=No/1=Si/2=No Requiere)</v>
      </c>
      <c r="G43" s="4"/>
      <c r="H43" s="5"/>
      <c r="J43" s="9" t="s">
        <v>146</v>
      </c>
      <c r="K43" s="10" t="s">
        <v>123</v>
      </c>
      <c r="L43" s="10" t="s">
        <v>147</v>
      </c>
    </row>
    <row r="44" ht="15.75" customHeight="1">
      <c r="B44" s="11" t="s">
        <v>28</v>
      </c>
      <c r="C44" s="12" t="s">
        <v>148</v>
      </c>
      <c r="D44" s="14" t="s">
        <v>15</v>
      </c>
      <c r="E44" s="11" t="s">
        <v>16</v>
      </c>
      <c r="F44" s="13" t="str">
        <f t="shared" si="1"/>
        <v>MOPRI - ¿Tiene Orden de Transfusión? (0=No/1=Si/2=No Requiere)</v>
      </c>
      <c r="G44" s="4"/>
      <c r="H44" s="5"/>
      <c r="J44" s="9" t="s">
        <v>149</v>
      </c>
      <c r="K44" s="10" t="s">
        <v>108</v>
      </c>
      <c r="L44" s="10" t="s">
        <v>150</v>
      </c>
    </row>
    <row r="45" ht="15.75" customHeight="1">
      <c r="B45" s="11" t="s">
        <v>28</v>
      </c>
      <c r="C45" s="12" t="s">
        <v>151</v>
      </c>
      <c r="D45" s="14" t="s">
        <v>15</v>
      </c>
      <c r="E45" s="11" t="s">
        <v>16</v>
      </c>
      <c r="F45" s="13" t="str">
        <f t="shared" si="1"/>
        <v>Resultado Evaluación Pre-Quirúrgica (1=Apto/0=No Apto) (Anestesiólogo)</v>
      </c>
      <c r="G45" s="4"/>
      <c r="H45" s="5"/>
      <c r="J45" s="9" t="s">
        <v>152</v>
      </c>
      <c r="K45" s="10" t="s">
        <v>153</v>
      </c>
      <c r="L45" s="10" t="s">
        <v>154</v>
      </c>
    </row>
    <row r="46" ht="15.75" customHeight="1">
      <c r="B46" s="11" t="s">
        <v>28</v>
      </c>
      <c r="C46" s="12" t="s">
        <v>155</v>
      </c>
      <c r="D46" s="14" t="s">
        <v>30</v>
      </c>
      <c r="E46" s="11" t="s">
        <v>16</v>
      </c>
      <c r="F46" s="13" t="str">
        <f t="shared" si="1"/>
        <v>Fecha Evaluación Pre-Quirúrgica (Anestesiólogo)</v>
      </c>
      <c r="G46" s="4"/>
      <c r="H46" s="5"/>
      <c r="J46" s="9" t="s">
        <v>156</v>
      </c>
      <c r="K46" s="10" t="s">
        <v>111</v>
      </c>
      <c r="L46" s="10" t="s">
        <v>157</v>
      </c>
    </row>
    <row r="47" ht="15.75" customHeight="1">
      <c r="B47" s="11" t="s">
        <v>28</v>
      </c>
      <c r="C47" s="12" t="s">
        <v>158</v>
      </c>
      <c r="D47" s="14" t="s">
        <v>15</v>
      </c>
      <c r="E47" s="11" t="s">
        <v>16</v>
      </c>
      <c r="F47" s="13" t="str">
        <f t="shared" si="1"/>
        <v>Código Origen Centro Asistencial Evaluación Pre-Quirúrgica</v>
      </c>
      <c r="G47" s="4"/>
      <c r="H47" s="5"/>
      <c r="J47" s="9" t="s">
        <v>159</v>
      </c>
      <c r="K47" s="10" t="s">
        <v>114</v>
      </c>
      <c r="L47" s="10" t="s">
        <v>160</v>
      </c>
    </row>
    <row r="48" ht="15.75" customHeight="1">
      <c r="B48" s="11" t="s">
        <v>28</v>
      </c>
      <c r="C48" s="12" t="s">
        <v>161</v>
      </c>
      <c r="D48" s="14" t="s">
        <v>20</v>
      </c>
      <c r="E48" s="11" t="s">
        <v>16</v>
      </c>
      <c r="F48" s="13" t="str">
        <f t="shared" si="1"/>
        <v>Código Centro Asistencial Evaluación Pre-Quirúrgica</v>
      </c>
      <c r="G48" s="4"/>
      <c r="H48" s="5"/>
      <c r="J48" s="9" t="s">
        <v>162</v>
      </c>
      <c r="K48" s="10" t="s">
        <v>118</v>
      </c>
      <c r="L48" s="10" t="s">
        <v>163</v>
      </c>
    </row>
    <row r="49" ht="15.75" customHeight="1">
      <c r="B49" s="11" t="s">
        <v>28</v>
      </c>
      <c r="C49" s="12" t="s">
        <v>164</v>
      </c>
      <c r="D49" s="14" t="s">
        <v>25</v>
      </c>
      <c r="E49" s="11" t="s">
        <v>16</v>
      </c>
      <c r="F49" s="13" t="str">
        <f t="shared" si="1"/>
        <v>Acto Médico Evaluación Pre-Quirúrgica</v>
      </c>
      <c r="G49" s="4"/>
      <c r="H49" s="5"/>
      <c r="J49" s="9" t="s">
        <v>165</v>
      </c>
      <c r="K49" s="10" t="s">
        <v>166</v>
      </c>
      <c r="L49" s="10" t="s">
        <v>167</v>
      </c>
    </row>
    <row r="50" ht="15.75" customHeight="1">
      <c r="B50" s="11" t="s">
        <v>28</v>
      </c>
      <c r="C50" s="12" t="s">
        <v>168</v>
      </c>
      <c r="D50" s="14" t="s">
        <v>77</v>
      </c>
      <c r="E50" s="11" t="s">
        <v>16</v>
      </c>
      <c r="F50" s="13" t="str">
        <f t="shared" si="1"/>
        <v>Código Topico Emergencia Solicita</v>
      </c>
      <c r="G50" s="4"/>
      <c r="H50" s="5"/>
      <c r="J50" s="9" t="s">
        <v>169</v>
      </c>
      <c r="K50" s="10" t="s">
        <v>121</v>
      </c>
      <c r="L50" s="10" t="s">
        <v>170</v>
      </c>
    </row>
    <row r="51" ht="15.75" customHeight="1">
      <c r="B51" s="11" t="s">
        <v>28</v>
      </c>
      <c r="C51" s="12" t="s">
        <v>171</v>
      </c>
      <c r="D51" s="14" t="s">
        <v>172</v>
      </c>
      <c r="E51" s="11" t="s">
        <v>16</v>
      </c>
      <c r="F51" s="13" t="str">
        <f t="shared" si="1"/>
        <v>Numero Secuencia Atención Solicita</v>
      </c>
      <c r="G51" s="4"/>
      <c r="H51" s="5"/>
      <c r="J51" s="9" t="s">
        <v>173</v>
      </c>
      <c r="K51" s="10" t="s">
        <v>125</v>
      </c>
      <c r="L51" s="10" t="s">
        <v>174</v>
      </c>
    </row>
    <row r="52" ht="15.75" customHeight="1">
      <c r="B52" s="11" t="s">
        <v>28</v>
      </c>
      <c r="C52" s="12" t="s">
        <v>175</v>
      </c>
      <c r="D52" s="14" t="s">
        <v>25</v>
      </c>
      <c r="E52" s="11" t="s">
        <v>16</v>
      </c>
      <c r="F52" s="13" t="str">
        <f t="shared" si="1"/>
        <v>Numero de Secuencia del Paciente Buscado</v>
      </c>
      <c r="G52" s="4"/>
      <c r="H52" s="5"/>
      <c r="J52" s="9" t="s">
        <v>176</v>
      </c>
      <c r="K52" s="10" t="s">
        <v>128</v>
      </c>
      <c r="L52" s="10" t="s">
        <v>177</v>
      </c>
    </row>
    <row r="53" ht="15.75" customHeight="1">
      <c r="B53" s="11" t="s">
        <v>28</v>
      </c>
      <c r="C53" s="12" t="s">
        <v>178</v>
      </c>
      <c r="D53" s="14" t="s">
        <v>30</v>
      </c>
      <c r="E53" s="11" t="s">
        <v>16</v>
      </c>
      <c r="F53" s="13" t="str">
        <f t="shared" si="1"/>
        <v>MIOQX - Fecha de Solicitud de Exámenes</v>
      </c>
      <c r="G53" s="4"/>
      <c r="H53" s="5"/>
      <c r="J53" s="9" t="s">
        <v>179</v>
      </c>
      <c r="K53" s="10" t="s">
        <v>180</v>
      </c>
      <c r="L53" s="10" t="s">
        <v>181</v>
      </c>
    </row>
    <row r="54" ht="15.75" customHeight="1">
      <c r="B54" s="11" t="s">
        <v>28</v>
      </c>
      <c r="C54" s="12" t="s">
        <v>182</v>
      </c>
      <c r="D54" s="14" t="s">
        <v>30</v>
      </c>
      <c r="E54" s="11" t="s">
        <v>16</v>
      </c>
      <c r="F54" s="13" t="str">
        <f t="shared" si="1"/>
        <v>MIOQX - Fecha de Resultados de Exámenes de Laboratorio</v>
      </c>
      <c r="G54" s="4"/>
      <c r="H54" s="5"/>
      <c r="J54" s="9" t="s">
        <v>183</v>
      </c>
      <c r="K54" s="10" t="s">
        <v>131</v>
      </c>
      <c r="L54" s="10" t="s">
        <v>184</v>
      </c>
    </row>
    <row r="55" ht="15.75" customHeight="1">
      <c r="B55" s="11" t="s">
        <v>28</v>
      </c>
      <c r="C55" s="12" t="s">
        <v>185</v>
      </c>
      <c r="D55" s="14" t="s">
        <v>30</v>
      </c>
      <c r="E55" s="11" t="s">
        <v>16</v>
      </c>
      <c r="F55" s="13" t="str">
        <f t="shared" si="1"/>
        <v>MIOQX - Fecha de Riesgo Cardiovascular</v>
      </c>
      <c r="G55" s="4"/>
      <c r="H55" s="5"/>
      <c r="J55" s="9" t="s">
        <v>186</v>
      </c>
      <c r="K55" s="10" t="s">
        <v>187</v>
      </c>
      <c r="L55" s="10" t="s">
        <v>188</v>
      </c>
    </row>
    <row r="56" ht="15.75" customHeight="1">
      <c r="B56" s="11" t="s">
        <v>28</v>
      </c>
      <c r="C56" s="12" t="s">
        <v>189</v>
      </c>
      <c r="D56" s="14" t="s">
        <v>30</v>
      </c>
      <c r="E56" s="11" t="s">
        <v>16</v>
      </c>
      <c r="F56" s="13" t="str">
        <f t="shared" si="1"/>
        <v>MIOQX - Fecha de Riesgo Neumológico</v>
      </c>
      <c r="G56" s="4"/>
      <c r="H56" s="5"/>
      <c r="J56" s="9" t="s">
        <v>190</v>
      </c>
      <c r="K56" s="10" t="s">
        <v>135</v>
      </c>
      <c r="L56" s="10" t="s">
        <v>191</v>
      </c>
    </row>
    <row r="57" ht="15.75" customHeight="1">
      <c r="B57" s="11" t="s">
        <v>28</v>
      </c>
      <c r="C57" s="12" t="s">
        <v>192</v>
      </c>
      <c r="D57" s="14" t="s">
        <v>15</v>
      </c>
      <c r="E57" s="11" t="s">
        <v>16</v>
      </c>
      <c r="F57" s="13" t="str">
        <f t="shared" si="1"/>
        <v>Tipo Doc. Medico Evalua PQx</v>
      </c>
      <c r="G57" s="4"/>
      <c r="H57" s="5"/>
      <c r="J57" s="9" t="s">
        <v>193</v>
      </c>
      <c r="K57" s="10" t="s">
        <v>194</v>
      </c>
      <c r="L57" s="10" t="s">
        <v>195</v>
      </c>
    </row>
    <row r="58" ht="15.75" customHeight="1">
      <c r="B58" s="11" t="s">
        <v>28</v>
      </c>
      <c r="C58" s="12" t="s">
        <v>196</v>
      </c>
      <c r="D58" s="14" t="s">
        <v>197</v>
      </c>
      <c r="E58" s="11" t="s">
        <v>16</v>
      </c>
      <c r="F58" s="13" t="str">
        <f t="shared" si="1"/>
        <v>Num. Doc. Medico Evalua PQx</v>
      </c>
      <c r="G58" s="4"/>
      <c r="H58" s="5"/>
      <c r="J58" s="9" t="s">
        <v>198</v>
      </c>
      <c r="K58" s="10" t="s">
        <v>138</v>
      </c>
      <c r="L58" s="10" t="s">
        <v>199</v>
      </c>
    </row>
    <row r="59" ht="15.75" customHeight="1">
      <c r="B59" s="11" t="s">
        <v>28</v>
      </c>
      <c r="C59" s="12" t="s">
        <v>200</v>
      </c>
      <c r="D59" s="14" t="s">
        <v>15</v>
      </c>
      <c r="E59" s="11" t="s">
        <v>16</v>
      </c>
      <c r="F59" s="13" t="str">
        <f t="shared" si="1"/>
        <v>Sin Información</v>
      </c>
      <c r="G59" s="4"/>
      <c r="H59" s="5"/>
      <c r="J59" s="9" t="s">
        <v>201</v>
      </c>
      <c r="K59" s="10" t="s">
        <v>202</v>
      </c>
      <c r="L59" s="10" t="s">
        <v>203</v>
      </c>
    </row>
    <row r="60" ht="15.75" customHeight="1">
      <c r="B60" s="11" t="s">
        <v>28</v>
      </c>
      <c r="C60" s="12" t="s">
        <v>204</v>
      </c>
      <c r="D60" s="14" t="s">
        <v>15</v>
      </c>
      <c r="E60" s="11" t="s">
        <v>16</v>
      </c>
      <c r="F60" s="13" t="str">
        <f t="shared" si="1"/>
        <v>Sin Información</v>
      </c>
      <c r="G60" s="4"/>
      <c r="H60" s="5"/>
      <c r="J60" s="9" t="s">
        <v>205</v>
      </c>
      <c r="K60" s="10" t="s">
        <v>142</v>
      </c>
      <c r="L60" s="10" t="s">
        <v>206</v>
      </c>
    </row>
    <row r="61" ht="15.75" customHeight="1">
      <c r="B61" s="11" t="s">
        <v>28</v>
      </c>
      <c r="C61" s="12" t="s">
        <v>207</v>
      </c>
      <c r="D61" s="14" t="s">
        <v>15</v>
      </c>
      <c r="E61" s="11" t="s">
        <v>16</v>
      </c>
      <c r="F61" s="13" t="str">
        <f t="shared" si="1"/>
        <v>Sin Información</v>
      </c>
      <c r="G61" s="4"/>
      <c r="H61" s="5"/>
      <c r="J61" s="9" t="s">
        <v>208</v>
      </c>
      <c r="K61" s="10" t="s">
        <v>209</v>
      </c>
      <c r="L61" s="10" t="s">
        <v>210</v>
      </c>
    </row>
    <row r="62" ht="15.75" customHeight="1">
      <c r="J62" s="9" t="s">
        <v>211</v>
      </c>
      <c r="K62" s="10" t="s">
        <v>145</v>
      </c>
      <c r="L62" s="10" t="s">
        <v>212</v>
      </c>
    </row>
    <row r="63" ht="15.75" customHeight="1">
      <c r="J63" s="9" t="s">
        <v>213</v>
      </c>
      <c r="K63" s="10" t="s">
        <v>214</v>
      </c>
      <c r="L63" s="10" t="s">
        <v>215</v>
      </c>
    </row>
    <row r="64" ht="15.75" customHeight="1">
      <c r="J64" s="9" t="s">
        <v>216</v>
      </c>
      <c r="K64" s="10" t="s">
        <v>148</v>
      </c>
      <c r="L64" s="10" t="s">
        <v>217</v>
      </c>
    </row>
    <row r="65" ht="15.75" customHeight="1">
      <c r="J65" s="9" t="s">
        <v>218</v>
      </c>
      <c r="K65" s="10" t="s">
        <v>219</v>
      </c>
      <c r="L65" s="10" t="s">
        <v>220</v>
      </c>
    </row>
    <row r="66" ht="15.75" customHeight="1">
      <c r="J66" s="9" t="s">
        <v>221</v>
      </c>
      <c r="K66" s="10" t="s">
        <v>151</v>
      </c>
      <c r="L66" s="10" t="s">
        <v>222</v>
      </c>
    </row>
    <row r="67" ht="15.75" customHeight="1">
      <c r="J67" s="9" t="s">
        <v>223</v>
      </c>
      <c r="K67" s="10" t="s">
        <v>224</v>
      </c>
      <c r="L67" s="10" t="s">
        <v>225</v>
      </c>
    </row>
    <row r="68" ht="15.75" customHeight="1">
      <c r="J68" s="9" t="s">
        <v>226</v>
      </c>
      <c r="K68" s="10" t="s">
        <v>155</v>
      </c>
      <c r="L68" s="10" t="s">
        <v>227</v>
      </c>
    </row>
    <row r="69" ht="15.75" customHeight="1">
      <c r="J69" s="9" t="s">
        <v>228</v>
      </c>
      <c r="K69" s="10" t="s">
        <v>158</v>
      </c>
      <c r="L69" s="10" t="s">
        <v>229</v>
      </c>
    </row>
    <row r="70" ht="15.75" customHeight="1">
      <c r="J70" s="9" t="s">
        <v>230</v>
      </c>
      <c r="K70" s="10" t="s">
        <v>161</v>
      </c>
      <c r="L70" s="10" t="s">
        <v>231</v>
      </c>
    </row>
    <row r="71" ht="15.75" customHeight="1">
      <c r="J71" s="9" t="s">
        <v>232</v>
      </c>
      <c r="K71" s="10" t="s">
        <v>164</v>
      </c>
      <c r="L71" s="10" t="s">
        <v>233</v>
      </c>
    </row>
    <row r="72" ht="15.75" customHeight="1">
      <c r="J72" s="9" t="s">
        <v>234</v>
      </c>
      <c r="K72" s="10" t="s">
        <v>171</v>
      </c>
      <c r="L72" s="10" t="s">
        <v>235</v>
      </c>
    </row>
    <row r="73" ht="15.75" customHeight="1">
      <c r="J73" s="9" t="s">
        <v>236</v>
      </c>
      <c r="K73" s="10" t="s">
        <v>175</v>
      </c>
      <c r="L73" s="10" t="s">
        <v>237</v>
      </c>
    </row>
    <row r="74" ht="15.75" customHeight="1">
      <c r="J74" s="9" t="s">
        <v>238</v>
      </c>
      <c r="K74" s="10" t="s">
        <v>178</v>
      </c>
      <c r="L74" s="10" t="s">
        <v>239</v>
      </c>
    </row>
    <row r="75" ht="15.75" customHeight="1">
      <c r="J75" s="9" t="s">
        <v>240</v>
      </c>
      <c r="K75" s="10" t="s">
        <v>182</v>
      </c>
      <c r="L75" s="10" t="s">
        <v>241</v>
      </c>
    </row>
    <row r="76" ht="15.75" customHeight="1">
      <c r="J76" s="9" t="s">
        <v>242</v>
      </c>
      <c r="K76" s="10" t="s">
        <v>185</v>
      </c>
      <c r="L76" s="10" t="s">
        <v>243</v>
      </c>
    </row>
    <row r="77" ht="15.75" customHeight="1">
      <c r="J77" s="9" t="s">
        <v>244</v>
      </c>
      <c r="K77" s="10" t="s">
        <v>189</v>
      </c>
      <c r="L77" s="10" t="s">
        <v>245</v>
      </c>
    </row>
    <row r="78" ht="15.75" customHeight="1">
      <c r="J78" s="9" t="s">
        <v>246</v>
      </c>
      <c r="K78" s="10" t="s">
        <v>192</v>
      </c>
      <c r="L78" s="10" t="s">
        <v>247</v>
      </c>
    </row>
    <row r="79" ht="15.75" customHeight="1">
      <c r="J79" s="9" t="s">
        <v>248</v>
      </c>
      <c r="K79" s="10" t="s">
        <v>196</v>
      </c>
      <c r="L79" s="10" t="s">
        <v>249</v>
      </c>
    </row>
    <row r="80" ht="15.75" customHeight="1">
      <c r="J80" s="9" t="s">
        <v>250</v>
      </c>
      <c r="K80" s="10" t="s">
        <v>200</v>
      </c>
      <c r="L80" s="15" t="s">
        <v>251</v>
      </c>
    </row>
    <row r="81" ht="15.75" customHeight="1">
      <c r="J81" s="9" t="s">
        <v>252</v>
      </c>
      <c r="K81" s="10" t="s">
        <v>204</v>
      </c>
      <c r="L81" s="15" t="s">
        <v>251</v>
      </c>
    </row>
    <row r="82" ht="15.75" customHeight="1">
      <c r="J82" s="9" t="s">
        <v>253</v>
      </c>
      <c r="K82" s="10" t="s">
        <v>207</v>
      </c>
      <c r="L82" s="15" t="s">
        <v>251</v>
      </c>
    </row>
    <row r="83" ht="15.75" customHeight="1">
      <c r="J83" s="9" t="s">
        <v>254</v>
      </c>
      <c r="K83" s="10" t="s">
        <v>168</v>
      </c>
      <c r="L83" s="10" t="s">
        <v>255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68">
    <mergeCell ref="F53:H53"/>
    <mergeCell ref="F54:H54"/>
    <mergeCell ref="F55:H55"/>
    <mergeCell ref="F56:H56"/>
    <mergeCell ref="F57:H57"/>
    <mergeCell ref="F58:H58"/>
    <mergeCell ref="F59:H59"/>
    <mergeCell ref="F67:H67"/>
    <mergeCell ref="F68:H68"/>
    <mergeCell ref="F69:H69"/>
    <mergeCell ref="F70:H70"/>
    <mergeCell ref="F71:H71"/>
    <mergeCell ref="F60:H60"/>
    <mergeCell ref="F61:H61"/>
    <mergeCell ref="F62:H62"/>
    <mergeCell ref="F63:H63"/>
    <mergeCell ref="F64:H64"/>
    <mergeCell ref="F65:H65"/>
    <mergeCell ref="F66:H66"/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20.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/>
    <row r="3" ht="15.75" customHeight="1">
      <c r="B3" s="1" t="s">
        <v>0</v>
      </c>
      <c r="C3" s="2" t="s">
        <v>256</v>
      </c>
      <c r="D3" s="2"/>
      <c r="E3" s="2"/>
      <c r="F3" s="2"/>
      <c r="G3" s="2"/>
      <c r="H3" s="3"/>
    </row>
    <row r="4" ht="15.75" customHeight="1">
      <c r="B4" s="1" t="s">
        <v>257</v>
      </c>
      <c r="C4" s="4"/>
      <c r="D4" s="4"/>
      <c r="E4" s="4"/>
      <c r="F4" s="4"/>
      <c r="G4" s="4"/>
      <c r="H4" s="5"/>
      <c r="J4" s="6" t="s">
        <v>3</v>
      </c>
      <c r="K4" s="6" t="s">
        <v>4</v>
      </c>
      <c r="L4" s="6" t="s">
        <v>5</v>
      </c>
    </row>
    <row r="5" ht="15.75" customHeight="1"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4"/>
      <c r="H5" s="5"/>
      <c r="J5" s="10" t="s">
        <v>11</v>
      </c>
      <c r="K5" s="10" t="s">
        <v>258</v>
      </c>
      <c r="L5" s="10" t="s">
        <v>259</v>
      </c>
    </row>
    <row r="6" ht="15.75" customHeight="1">
      <c r="B6" s="11" t="s">
        <v>28</v>
      </c>
      <c r="C6" s="12" t="s">
        <v>258</v>
      </c>
      <c r="D6" s="11" t="s">
        <v>15</v>
      </c>
      <c r="E6" s="11" t="s">
        <v>16</v>
      </c>
      <c r="F6" s="13" t="str">
        <f t="shared" ref="F6:F32" si="1">VLOOKUP(C6,$K$4:$L$83,2,0)</f>
        <v>Código Origen Centro Asistencial</v>
      </c>
      <c r="G6" s="4"/>
      <c r="H6" s="5"/>
      <c r="J6" s="10" t="s">
        <v>17</v>
      </c>
      <c r="K6" s="10" t="s">
        <v>260</v>
      </c>
      <c r="L6" s="10" t="s">
        <v>19</v>
      </c>
    </row>
    <row r="7" ht="15.75" customHeight="1">
      <c r="B7" s="11" t="s">
        <v>28</v>
      </c>
      <c r="C7" s="12" t="s">
        <v>260</v>
      </c>
      <c r="D7" s="11" t="s">
        <v>20</v>
      </c>
      <c r="E7" s="11" t="s">
        <v>16</v>
      </c>
      <c r="F7" s="13" t="str">
        <f t="shared" si="1"/>
        <v>Código Centro Asistencial</v>
      </c>
      <c r="G7" s="4"/>
      <c r="H7" s="5"/>
      <c r="J7" s="10" t="s">
        <v>21</v>
      </c>
      <c r="K7" s="10" t="s">
        <v>22</v>
      </c>
      <c r="L7" s="10" t="s">
        <v>23</v>
      </c>
    </row>
    <row r="8" ht="15.75" customHeight="1">
      <c r="B8" s="11" t="s">
        <v>28</v>
      </c>
      <c r="C8" s="12" t="s">
        <v>261</v>
      </c>
      <c r="D8" s="11" t="s">
        <v>25</v>
      </c>
      <c r="E8" s="11" t="s">
        <v>16</v>
      </c>
      <c r="F8" s="13" t="str">
        <f t="shared" si="1"/>
        <v>Número Solicitud de Sala de Operaciones</v>
      </c>
      <c r="G8" s="4"/>
      <c r="H8" s="5"/>
      <c r="J8" s="10" t="s">
        <v>26</v>
      </c>
      <c r="K8" s="10" t="s">
        <v>22</v>
      </c>
      <c r="L8" s="10" t="s">
        <v>27</v>
      </c>
    </row>
    <row r="9" ht="15.75" customHeight="1">
      <c r="B9" s="11" t="s">
        <v>28</v>
      </c>
      <c r="C9" s="12" t="s">
        <v>262</v>
      </c>
      <c r="D9" s="11" t="s">
        <v>94</v>
      </c>
      <c r="E9" s="11" t="s">
        <v>16</v>
      </c>
      <c r="F9" s="13" t="str">
        <f t="shared" si="1"/>
        <v>Número de Secuencia de Registro (01)</v>
      </c>
      <c r="G9" s="4"/>
      <c r="H9" s="5"/>
      <c r="J9" s="10" t="s">
        <v>31</v>
      </c>
      <c r="K9" s="10" t="s">
        <v>22</v>
      </c>
      <c r="L9" s="10" t="s">
        <v>32</v>
      </c>
    </row>
    <row r="10" ht="15.75" customHeight="1">
      <c r="B10" s="11" t="s">
        <v>28</v>
      </c>
      <c r="C10" s="12" t="s">
        <v>263</v>
      </c>
      <c r="D10" s="11" t="s">
        <v>30</v>
      </c>
      <c r="E10" s="11" t="s">
        <v>16</v>
      </c>
      <c r="F10" s="13" t="str">
        <f t="shared" si="1"/>
        <v>Fecha de la Operación</v>
      </c>
      <c r="G10" s="4"/>
      <c r="H10" s="5"/>
      <c r="J10" s="10" t="s">
        <v>34</v>
      </c>
      <c r="K10" s="10" t="s">
        <v>261</v>
      </c>
      <c r="L10" s="10" t="s">
        <v>264</v>
      </c>
    </row>
    <row r="11" ht="15.75" customHeight="1">
      <c r="B11" s="11" t="s">
        <v>28</v>
      </c>
      <c r="C11" s="12" t="s">
        <v>265</v>
      </c>
      <c r="D11" s="11" t="s">
        <v>50</v>
      </c>
      <c r="E11" s="11" t="s">
        <v>16</v>
      </c>
      <c r="F11" s="13" t="str">
        <f t="shared" si="1"/>
        <v>Hora de Ingreso a Sala de Operaciones</v>
      </c>
      <c r="G11" s="4"/>
      <c r="H11" s="5"/>
      <c r="J11" s="10" t="s">
        <v>234</v>
      </c>
      <c r="K11" s="10" t="s">
        <v>262</v>
      </c>
      <c r="L11" s="10" t="s">
        <v>266</v>
      </c>
    </row>
    <row r="12" ht="15.75" customHeight="1">
      <c r="B12" s="11" t="s">
        <v>28</v>
      </c>
      <c r="C12" s="12" t="s">
        <v>267</v>
      </c>
      <c r="D12" s="14" t="s">
        <v>50</v>
      </c>
      <c r="E12" s="11" t="s">
        <v>16</v>
      </c>
      <c r="F12" s="13" t="str">
        <f t="shared" si="1"/>
        <v>Tiempo de Uso de Sala de Operaciones (HH:MM) (Cantidad)</v>
      </c>
      <c r="G12" s="4"/>
      <c r="H12" s="5"/>
      <c r="J12" s="10" t="s">
        <v>268</v>
      </c>
      <c r="K12" s="10" t="s">
        <v>263</v>
      </c>
      <c r="L12" s="10" t="s">
        <v>269</v>
      </c>
    </row>
    <row r="13" ht="15.75" customHeight="1">
      <c r="B13" s="11" t="s">
        <v>28</v>
      </c>
      <c r="C13" s="12" t="s">
        <v>270</v>
      </c>
      <c r="D13" s="14" t="s">
        <v>50</v>
      </c>
      <c r="E13" s="11" t="s">
        <v>16</v>
      </c>
      <c r="F13" s="13" t="str">
        <f t="shared" si="1"/>
        <v>Tiempo de las Anestesias (HH:MM) (Cantidad)</v>
      </c>
      <c r="G13" s="4"/>
      <c r="H13" s="5"/>
      <c r="J13" s="10" t="s">
        <v>271</v>
      </c>
      <c r="K13" s="10" t="s">
        <v>265</v>
      </c>
      <c r="L13" s="10" t="s">
        <v>272</v>
      </c>
    </row>
    <row r="14" ht="15.75" customHeight="1">
      <c r="B14" s="11" t="s">
        <v>28</v>
      </c>
      <c r="C14" s="12" t="s">
        <v>273</v>
      </c>
      <c r="D14" s="14" t="s">
        <v>50</v>
      </c>
      <c r="E14" s="11" t="s">
        <v>16</v>
      </c>
      <c r="F14" s="13" t="str">
        <f t="shared" si="1"/>
        <v>Tiempo de la Operación (HH:MM) (Cantidad)</v>
      </c>
      <c r="G14" s="4"/>
      <c r="H14" s="5"/>
      <c r="J14" s="10" t="s">
        <v>274</v>
      </c>
      <c r="K14" s="10" t="s">
        <v>267</v>
      </c>
      <c r="L14" s="10" t="s">
        <v>275</v>
      </c>
    </row>
    <row r="15" ht="15.75" customHeight="1">
      <c r="B15" s="11" t="s">
        <v>28</v>
      </c>
      <c r="C15" s="12" t="s">
        <v>276</v>
      </c>
      <c r="D15" s="14" t="s">
        <v>15</v>
      </c>
      <c r="E15" s="11" t="s">
        <v>16</v>
      </c>
      <c r="F15" s="13" t="str">
        <f t="shared" si="1"/>
        <v>¿Resultado Patológico?</v>
      </c>
      <c r="G15" s="4"/>
      <c r="H15" s="5"/>
      <c r="J15" s="10" t="s">
        <v>277</v>
      </c>
      <c r="K15" s="10" t="s">
        <v>270</v>
      </c>
      <c r="L15" s="10" t="s">
        <v>278</v>
      </c>
    </row>
    <row r="16" ht="15.75" customHeight="1">
      <c r="B16" s="11" t="s">
        <v>28</v>
      </c>
      <c r="C16" s="12" t="s">
        <v>279</v>
      </c>
      <c r="D16" s="14" t="s">
        <v>15</v>
      </c>
      <c r="E16" s="11" t="s">
        <v>16</v>
      </c>
      <c r="F16" s="13" t="str">
        <f t="shared" si="1"/>
        <v>Código Tipo de Herida Operatoria</v>
      </c>
      <c r="G16" s="4"/>
      <c r="H16" s="5"/>
      <c r="J16" s="10" t="s">
        <v>280</v>
      </c>
      <c r="K16" s="10" t="s">
        <v>273</v>
      </c>
      <c r="L16" s="10" t="s">
        <v>281</v>
      </c>
    </row>
    <row r="17" ht="15.75" customHeight="1">
      <c r="B17" s="11" t="s">
        <v>28</v>
      </c>
      <c r="C17" s="12" t="s">
        <v>282</v>
      </c>
      <c r="D17" s="14" t="s">
        <v>40</v>
      </c>
      <c r="E17" s="11" t="s">
        <v>16</v>
      </c>
      <c r="F17" s="13" t="str">
        <f t="shared" si="1"/>
        <v>Código Usuario Registra</v>
      </c>
      <c r="G17" s="4"/>
      <c r="H17" s="5"/>
      <c r="J17" s="10" t="s">
        <v>283</v>
      </c>
      <c r="K17" s="10" t="s">
        <v>276</v>
      </c>
      <c r="L17" s="10" t="s">
        <v>284</v>
      </c>
    </row>
    <row r="18" ht="15.75" customHeight="1">
      <c r="B18" s="11" t="s">
        <v>28</v>
      </c>
      <c r="C18" s="12" t="s">
        <v>285</v>
      </c>
      <c r="D18" s="14" t="s">
        <v>50</v>
      </c>
      <c r="E18" s="11" t="s">
        <v>16</v>
      </c>
      <c r="F18" s="13" t="str">
        <f t="shared" si="1"/>
        <v>Fecha y Hora Registra</v>
      </c>
      <c r="G18" s="4"/>
      <c r="H18" s="5"/>
      <c r="J18" s="10" t="s">
        <v>286</v>
      </c>
      <c r="K18" s="10" t="s">
        <v>287</v>
      </c>
      <c r="L18" s="10" t="s">
        <v>288</v>
      </c>
    </row>
    <row r="19" ht="15.75" customHeight="1">
      <c r="B19" s="11" t="s">
        <v>28</v>
      </c>
      <c r="C19" s="12" t="s">
        <v>289</v>
      </c>
      <c r="D19" s="14" t="s">
        <v>40</v>
      </c>
      <c r="E19" s="11" t="s">
        <v>16</v>
      </c>
      <c r="F19" s="13" t="str">
        <f t="shared" si="1"/>
        <v>Código Usuario Modifica</v>
      </c>
      <c r="G19" s="4"/>
      <c r="H19" s="5"/>
      <c r="J19" s="10" t="s">
        <v>290</v>
      </c>
      <c r="K19" s="10" t="s">
        <v>279</v>
      </c>
      <c r="L19" s="10" t="s">
        <v>291</v>
      </c>
    </row>
    <row r="20" ht="15.75" customHeight="1">
      <c r="B20" s="11" t="s">
        <v>28</v>
      </c>
      <c r="C20" s="12" t="s">
        <v>292</v>
      </c>
      <c r="D20" s="14" t="s">
        <v>50</v>
      </c>
      <c r="E20" s="11" t="s">
        <v>16</v>
      </c>
      <c r="F20" s="13" t="str">
        <f t="shared" si="1"/>
        <v>Fecha y Hora Modifica</v>
      </c>
      <c r="G20" s="4"/>
      <c r="H20" s="5"/>
      <c r="J20" s="10" t="s">
        <v>293</v>
      </c>
      <c r="K20" s="10" t="s">
        <v>294</v>
      </c>
      <c r="L20" s="10" t="s">
        <v>295</v>
      </c>
    </row>
    <row r="21" ht="15.75" customHeight="1">
      <c r="B21" s="11" t="s">
        <v>28</v>
      </c>
      <c r="C21" s="12" t="s">
        <v>296</v>
      </c>
      <c r="D21" s="14" t="s">
        <v>77</v>
      </c>
      <c r="E21" s="11" t="s">
        <v>16</v>
      </c>
      <c r="F21" s="13" t="str">
        <f t="shared" si="1"/>
        <v>Código Destino al Egreso de Sala de Operaciones</v>
      </c>
      <c r="G21" s="4"/>
      <c r="H21" s="5"/>
      <c r="J21" s="10" t="s">
        <v>82</v>
      </c>
      <c r="K21" s="10" t="s">
        <v>282</v>
      </c>
      <c r="L21" s="10" t="s">
        <v>83</v>
      </c>
    </row>
    <row r="22" ht="15.75" customHeight="1">
      <c r="B22" s="11" t="s">
        <v>28</v>
      </c>
      <c r="C22" s="12" t="s">
        <v>297</v>
      </c>
      <c r="D22" s="14" t="s">
        <v>25</v>
      </c>
      <c r="E22" s="11" t="s">
        <v>16</v>
      </c>
      <c r="F22" s="13" t="str">
        <f t="shared" si="1"/>
        <v>Número de Acto Médico</v>
      </c>
      <c r="G22" s="4"/>
      <c r="H22" s="5"/>
      <c r="J22" s="10" t="s">
        <v>85</v>
      </c>
      <c r="K22" s="10" t="s">
        <v>285</v>
      </c>
      <c r="L22" s="10" t="s">
        <v>86</v>
      </c>
    </row>
    <row r="23" ht="15.75" customHeight="1">
      <c r="B23" s="11" t="s">
        <v>28</v>
      </c>
      <c r="C23" s="12" t="s">
        <v>298</v>
      </c>
      <c r="D23" s="14" t="s">
        <v>299</v>
      </c>
      <c r="E23" s="11" t="s">
        <v>16</v>
      </c>
      <c r="F23" s="13" t="str">
        <f t="shared" si="1"/>
        <v>Sin Información</v>
      </c>
      <c r="G23" s="4"/>
      <c r="H23" s="5"/>
      <c r="J23" s="10" t="s">
        <v>88</v>
      </c>
      <c r="K23" s="10" t="s">
        <v>289</v>
      </c>
      <c r="L23" s="10" t="s">
        <v>89</v>
      </c>
    </row>
    <row r="24" ht="15.75" customHeight="1">
      <c r="B24" s="11" t="s">
        <v>28</v>
      </c>
      <c r="C24" s="12" t="s">
        <v>300</v>
      </c>
      <c r="D24" s="14" t="s">
        <v>94</v>
      </c>
      <c r="E24" s="11" t="s">
        <v>16</v>
      </c>
      <c r="F24" s="13" t="str">
        <f t="shared" si="1"/>
        <v>Sin Información</v>
      </c>
      <c r="G24" s="4"/>
      <c r="H24" s="5"/>
      <c r="J24" s="10" t="s">
        <v>91</v>
      </c>
      <c r="K24" s="10" t="s">
        <v>292</v>
      </c>
      <c r="L24" s="10" t="s">
        <v>92</v>
      </c>
    </row>
    <row r="25" ht="15.75" customHeight="1">
      <c r="B25" s="11" t="s">
        <v>28</v>
      </c>
      <c r="C25" s="12" t="s">
        <v>301</v>
      </c>
      <c r="D25" s="14" t="s">
        <v>94</v>
      </c>
      <c r="E25" s="11" t="s">
        <v>16</v>
      </c>
      <c r="F25" s="13" t="str">
        <f t="shared" si="1"/>
        <v>Sin Información</v>
      </c>
      <c r="G25" s="4"/>
      <c r="H25" s="5"/>
      <c r="J25" s="10" t="s">
        <v>302</v>
      </c>
      <c r="K25" s="10" t="s">
        <v>296</v>
      </c>
      <c r="L25" s="10" t="s">
        <v>303</v>
      </c>
    </row>
    <row r="26" ht="15.75" customHeight="1">
      <c r="B26" s="11" t="s">
        <v>28</v>
      </c>
      <c r="C26" s="12" t="s">
        <v>304</v>
      </c>
      <c r="D26" s="14" t="s">
        <v>77</v>
      </c>
      <c r="E26" s="11" t="s">
        <v>16</v>
      </c>
      <c r="F26" s="13" t="str">
        <f t="shared" si="1"/>
        <v>Sin Información</v>
      </c>
      <c r="G26" s="4"/>
      <c r="H26" s="5"/>
      <c r="J26" s="10" t="s">
        <v>305</v>
      </c>
      <c r="K26" s="10" t="s">
        <v>306</v>
      </c>
      <c r="L26" s="10" t="s">
        <v>307</v>
      </c>
    </row>
    <row r="27" ht="15.75" customHeight="1">
      <c r="B27" s="11" t="s">
        <v>28</v>
      </c>
      <c r="C27" s="12" t="s">
        <v>308</v>
      </c>
      <c r="D27" s="14" t="s">
        <v>299</v>
      </c>
      <c r="E27" s="11" t="s">
        <v>16</v>
      </c>
      <c r="F27" s="13" t="str">
        <f t="shared" si="1"/>
        <v>Sin Información</v>
      </c>
      <c r="G27" s="4"/>
      <c r="H27" s="5"/>
      <c r="J27" s="10" t="s">
        <v>41</v>
      </c>
      <c r="K27" s="10" t="s">
        <v>297</v>
      </c>
      <c r="L27" s="10" t="s">
        <v>309</v>
      </c>
    </row>
    <row r="28" ht="15.75" customHeight="1">
      <c r="B28" s="11" t="s">
        <v>28</v>
      </c>
      <c r="C28" s="12" t="s">
        <v>310</v>
      </c>
      <c r="D28" s="14" t="s">
        <v>299</v>
      </c>
      <c r="E28" s="11" t="s">
        <v>16</v>
      </c>
      <c r="F28" s="13" t="str">
        <f t="shared" si="1"/>
        <v>Sin Información</v>
      </c>
      <c r="G28" s="4"/>
      <c r="H28" s="5"/>
      <c r="J28" s="10" t="s">
        <v>311</v>
      </c>
      <c r="K28" s="10" t="s">
        <v>298</v>
      </c>
      <c r="L28" s="15" t="s">
        <v>251</v>
      </c>
    </row>
    <row r="29" ht="15.75" customHeight="1">
      <c r="B29" s="11" t="s">
        <v>28</v>
      </c>
      <c r="C29" s="12" t="s">
        <v>312</v>
      </c>
      <c r="D29" s="14" t="s">
        <v>299</v>
      </c>
      <c r="E29" s="11" t="s">
        <v>16</v>
      </c>
      <c r="F29" s="13" t="str">
        <f t="shared" si="1"/>
        <v>Sin Información</v>
      </c>
      <c r="G29" s="4"/>
      <c r="H29" s="5"/>
      <c r="J29" s="10" t="s">
        <v>313</v>
      </c>
      <c r="K29" s="10" t="s">
        <v>300</v>
      </c>
      <c r="L29" s="15" t="s">
        <v>251</v>
      </c>
    </row>
    <row r="30" ht="15.75" customHeight="1">
      <c r="B30" s="11" t="s">
        <v>28</v>
      </c>
      <c r="C30" s="12" t="s">
        <v>29</v>
      </c>
      <c r="D30" s="14" t="s">
        <v>30</v>
      </c>
      <c r="E30" s="11" t="s">
        <v>16</v>
      </c>
      <c r="F30" s="13" t="str">
        <f t="shared" si="1"/>
        <v>Fecha Solicitud de Sala de Operación</v>
      </c>
      <c r="G30" s="4"/>
      <c r="H30" s="5"/>
      <c r="J30" s="10" t="s">
        <v>314</v>
      </c>
      <c r="K30" s="10" t="s">
        <v>301</v>
      </c>
      <c r="L30" s="15" t="s">
        <v>251</v>
      </c>
    </row>
    <row r="31" ht="15.75" customHeight="1">
      <c r="B31" s="11" t="s">
        <v>28</v>
      </c>
      <c r="C31" s="12" t="s">
        <v>33</v>
      </c>
      <c r="D31" s="14" t="s">
        <v>25</v>
      </c>
      <c r="E31" s="11" t="s">
        <v>16</v>
      </c>
      <c r="F31" s="13" t="str">
        <f t="shared" si="1"/>
        <v>Número de Acto Médico Origen Solicitud</v>
      </c>
      <c r="G31" s="4"/>
      <c r="H31" s="5"/>
      <c r="J31" s="10" t="s">
        <v>315</v>
      </c>
      <c r="K31" s="10" t="s">
        <v>304</v>
      </c>
      <c r="L31" s="15" t="s">
        <v>251</v>
      </c>
    </row>
    <row r="32" ht="15.75" customHeight="1">
      <c r="B32" s="11" t="s">
        <v>28</v>
      </c>
      <c r="C32" s="12" t="s">
        <v>175</v>
      </c>
      <c r="D32" s="14" t="s">
        <v>25</v>
      </c>
      <c r="E32" s="11" t="s">
        <v>16</v>
      </c>
      <c r="F32" s="13" t="str">
        <f t="shared" si="1"/>
        <v>Numero de Secuencia del Paciente Buscado</v>
      </c>
      <c r="G32" s="4"/>
      <c r="H32" s="5"/>
      <c r="J32" s="10" t="s">
        <v>316</v>
      </c>
      <c r="K32" s="10" t="s">
        <v>308</v>
      </c>
      <c r="L32" s="15" t="s">
        <v>251</v>
      </c>
    </row>
    <row r="33" ht="15.75" customHeight="1">
      <c r="J33" s="10" t="s">
        <v>317</v>
      </c>
      <c r="K33" s="10" t="s">
        <v>310</v>
      </c>
      <c r="L33" s="15" t="s">
        <v>251</v>
      </c>
    </row>
    <row r="34" ht="15.75" customHeight="1">
      <c r="J34" s="10" t="s">
        <v>318</v>
      </c>
      <c r="K34" s="10" t="s">
        <v>312</v>
      </c>
      <c r="L34" s="15" t="s">
        <v>251</v>
      </c>
    </row>
    <row r="35" ht="15.75" customHeight="1">
      <c r="J35" s="10" t="s">
        <v>319</v>
      </c>
      <c r="K35" s="10" t="s">
        <v>29</v>
      </c>
      <c r="L35" s="10" t="s">
        <v>38</v>
      </c>
    </row>
    <row r="36" ht="15.75" customHeight="1">
      <c r="J36" s="10" t="s">
        <v>320</v>
      </c>
      <c r="K36" s="10" t="s">
        <v>33</v>
      </c>
      <c r="L36" s="10" t="s">
        <v>42</v>
      </c>
    </row>
    <row r="37" ht="15.75" customHeight="1">
      <c r="J37" s="10" t="s">
        <v>236</v>
      </c>
      <c r="K37" s="10" t="s">
        <v>175</v>
      </c>
      <c r="L37" s="10" t="s">
        <v>237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mergeCells count="35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32:H32"/>
    <mergeCell ref="F33:H33"/>
    <mergeCell ref="F34:H34"/>
    <mergeCell ref="F35:H35"/>
    <mergeCell ref="F36:H36"/>
    <mergeCell ref="F37:H37"/>
    <mergeCell ref="F38:H38"/>
    <mergeCell ref="F25:H25"/>
    <mergeCell ref="F26:H26"/>
    <mergeCell ref="F27:H27"/>
    <mergeCell ref="F28:H28"/>
    <mergeCell ref="F29:H29"/>
    <mergeCell ref="F30:H30"/>
    <mergeCell ref="F31:H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>
      <c r="J2" s="16" t="s">
        <v>321</v>
      </c>
    </row>
    <row r="3" ht="15.75" customHeight="1">
      <c r="B3" s="1" t="s">
        <v>0</v>
      </c>
      <c r="C3" s="2" t="s">
        <v>322</v>
      </c>
      <c r="D3" s="2"/>
      <c r="E3" s="2"/>
      <c r="F3" s="2"/>
      <c r="G3" s="2"/>
      <c r="H3" s="3"/>
    </row>
    <row r="4" ht="15.75" customHeight="1">
      <c r="B4" s="1" t="s">
        <v>323</v>
      </c>
      <c r="C4" s="4"/>
      <c r="D4" s="4"/>
      <c r="E4" s="4"/>
      <c r="F4" s="4"/>
      <c r="G4" s="4"/>
      <c r="H4" s="5"/>
      <c r="J4" s="6" t="s">
        <v>3</v>
      </c>
      <c r="K4" s="6" t="s">
        <v>4</v>
      </c>
      <c r="L4" s="6" t="s">
        <v>5</v>
      </c>
    </row>
    <row r="5" ht="15.75" customHeight="1"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4"/>
      <c r="H5" s="5"/>
      <c r="J5" s="10" t="s">
        <v>11</v>
      </c>
      <c r="K5" s="10" t="s">
        <v>258</v>
      </c>
      <c r="L5" s="10" t="s">
        <v>259</v>
      </c>
    </row>
    <row r="6" ht="15.75" customHeight="1">
      <c r="B6" s="11" t="s">
        <v>28</v>
      </c>
      <c r="C6" s="12" t="s">
        <v>258</v>
      </c>
      <c r="D6" s="12" t="s">
        <v>15</v>
      </c>
      <c r="E6" s="11" t="s">
        <v>16</v>
      </c>
      <c r="F6" s="13" t="str">
        <f t="shared" ref="F6:F28" si="1">VLOOKUP(C6,$K$4:$L$83,2,0)</f>
        <v>Código Origen Centro Asistencial</v>
      </c>
      <c r="G6" s="4"/>
      <c r="H6" s="5"/>
      <c r="J6" s="10" t="s">
        <v>17</v>
      </c>
      <c r="K6" s="10" t="s">
        <v>260</v>
      </c>
      <c r="L6" s="10" t="s">
        <v>19</v>
      </c>
    </row>
    <row r="7" ht="15.75" customHeight="1">
      <c r="B7" s="11" t="s">
        <v>28</v>
      </c>
      <c r="C7" s="12" t="s">
        <v>260</v>
      </c>
      <c r="D7" s="12" t="s">
        <v>20</v>
      </c>
      <c r="E7" s="11" t="s">
        <v>16</v>
      </c>
      <c r="F7" s="13" t="str">
        <f t="shared" si="1"/>
        <v>Código Centro Asistencial</v>
      </c>
      <c r="G7" s="4"/>
      <c r="H7" s="5"/>
      <c r="J7" s="10" t="s">
        <v>21</v>
      </c>
      <c r="K7" s="10" t="s">
        <v>22</v>
      </c>
      <c r="L7" s="10" t="s">
        <v>23</v>
      </c>
    </row>
    <row r="8" ht="15.75" customHeight="1">
      <c r="B8" s="11" t="s">
        <v>28</v>
      </c>
      <c r="C8" s="12" t="s">
        <v>261</v>
      </c>
      <c r="D8" s="12" t="s">
        <v>25</v>
      </c>
      <c r="E8" s="11" t="s">
        <v>16</v>
      </c>
      <c r="F8" s="13" t="str">
        <f t="shared" si="1"/>
        <v>Número Solicitud de Sala de Operaciones</v>
      </c>
      <c r="G8" s="4"/>
      <c r="H8" s="5"/>
      <c r="J8" s="10" t="s">
        <v>26</v>
      </c>
      <c r="K8" s="10" t="s">
        <v>22</v>
      </c>
      <c r="L8" s="10" t="s">
        <v>27</v>
      </c>
    </row>
    <row r="9" ht="15.75" customHeight="1">
      <c r="B9" s="11" t="s">
        <v>28</v>
      </c>
      <c r="C9" s="12" t="s">
        <v>324</v>
      </c>
      <c r="D9" s="12" t="s">
        <v>94</v>
      </c>
      <c r="E9" s="11" t="s">
        <v>16</v>
      </c>
      <c r="F9" s="13" t="str">
        <f t="shared" si="1"/>
        <v>Código de informe anestesiologo</v>
      </c>
      <c r="G9" s="4"/>
      <c r="H9" s="5"/>
      <c r="J9" s="10" t="s">
        <v>31</v>
      </c>
      <c r="K9" s="10" t="s">
        <v>22</v>
      </c>
      <c r="L9" s="10" t="s">
        <v>32</v>
      </c>
    </row>
    <row r="10" ht="15.75" customHeight="1">
      <c r="B10" s="11" t="s">
        <v>28</v>
      </c>
      <c r="C10" s="12" t="s">
        <v>325</v>
      </c>
      <c r="D10" s="12" t="s">
        <v>30</v>
      </c>
      <c r="E10" s="11" t="s">
        <v>16</v>
      </c>
      <c r="F10" s="13" t="str">
        <f t="shared" si="1"/>
        <v>Duración anestesia</v>
      </c>
      <c r="G10" s="4"/>
      <c r="H10" s="5"/>
      <c r="J10" s="10" t="s">
        <v>326</v>
      </c>
      <c r="K10" s="10" t="s">
        <v>261</v>
      </c>
      <c r="L10" s="10" t="s">
        <v>264</v>
      </c>
    </row>
    <row r="11" ht="15.75" customHeight="1">
      <c r="B11" s="11" t="s">
        <v>28</v>
      </c>
      <c r="C11" s="12" t="s">
        <v>327</v>
      </c>
      <c r="D11" s="12" t="s">
        <v>40</v>
      </c>
      <c r="E11" s="11" t="s">
        <v>16</v>
      </c>
      <c r="F11" s="13" t="str">
        <f t="shared" si="1"/>
        <v>Código de usuario que crea</v>
      </c>
      <c r="G11" s="4"/>
      <c r="H11" s="5"/>
      <c r="J11" s="10" t="s">
        <v>328</v>
      </c>
      <c r="K11" s="10" t="s">
        <v>324</v>
      </c>
      <c r="L11" s="10" t="s">
        <v>329</v>
      </c>
    </row>
    <row r="12" ht="15.75" customHeight="1">
      <c r="B12" s="11" t="s">
        <v>28</v>
      </c>
      <c r="C12" s="12" t="s">
        <v>330</v>
      </c>
      <c r="D12" s="12" t="s">
        <v>30</v>
      </c>
      <c r="E12" s="11" t="s">
        <v>16</v>
      </c>
      <c r="F12" s="13" t="str">
        <f t="shared" si="1"/>
        <v>Fecha de creación</v>
      </c>
      <c r="G12" s="4"/>
      <c r="H12" s="5"/>
      <c r="J12" s="10" t="s">
        <v>331</v>
      </c>
      <c r="K12" s="10" t="s">
        <v>325</v>
      </c>
      <c r="L12" s="10" t="s">
        <v>332</v>
      </c>
    </row>
    <row r="13" ht="15.75" customHeight="1">
      <c r="B13" s="11" t="s">
        <v>28</v>
      </c>
      <c r="C13" s="12" t="s">
        <v>333</v>
      </c>
      <c r="D13" s="12" t="s">
        <v>30</v>
      </c>
      <c r="E13" s="11" t="s">
        <v>16</v>
      </c>
      <c r="F13" s="13" t="str">
        <f t="shared" si="1"/>
        <v>Fecha de modificación</v>
      </c>
      <c r="G13" s="4"/>
      <c r="H13" s="5"/>
      <c r="J13" s="10" t="s">
        <v>82</v>
      </c>
      <c r="K13" s="10" t="s">
        <v>327</v>
      </c>
      <c r="L13" s="10" t="s">
        <v>334</v>
      </c>
    </row>
    <row r="14" ht="15.75" customHeight="1">
      <c r="B14" s="11" t="s">
        <v>28</v>
      </c>
      <c r="C14" s="12" t="s">
        <v>335</v>
      </c>
      <c r="D14" s="12" t="s">
        <v>40</v>
      </c>
      <c r="E14" s="11" t="s">
        <v>16</v>
      </c>
      <c r="F14" s="13" t="str">
        <f t="shared" si="1"/>
        <v>Código de usuario que modifica</v>
      </c>
      <c r="G14" s="4"/>
      <c r="H14" s="5"/>
      <c r="J14" s="10" t="s">
        <v>85</v>
      </c>
      <c r="K14" s="10" t="s">
        <v>330</v>
      </c>
      <c r="L14" s="10" t="s">
        <v>336</v>
      </c>
    </row>
    <row r="15" ht="15.75" customHeight="1">
      <c r="B15" s="11" t="s">
        <v>28</v>
      </c>
      <c r="C15" s="12" t="s">
        <v>337</v>
      </c>
      <c r="D15" s="12" t="s">
        <v>30</v>
      </c>
      <c r="E15" s="11" t="s">
        <v>16</v>
      </c>
      <c r="F15" s="13" t="str">
        <f t="shared" si="1"/>
        <v>Duración anestesia Inicio</v>
      </c>
      <c r="G15" s="4"/>
      <c r="H15" s="5"/>
      <c r="J15" s="10" t="s">
        <v>88</v>
      </c>
      <c r="K15" s="10" t="s">
        <v>335</v>
      </c>
      <c r="L15" s="10" t="s">
        <v>338</v>
      </c>
    </row>
    <row r="16" ht="15.75" customHeight="1">
      <c r="B16" s="11" t="s">
        <v>28</v>
      </c>
      <c r="C16" s="12" t="s">
        <v>339</v>
      </c>
      <c r="D16" s="12" t="s">
        <v>30</v>
      </c>
      <c r="E16" s="11" t="s">
        <v>16</v>
      </c>
      <c r="F16" s="13" t="str">
        <f t="shared" si="1"/>
        <v>Duración anestesia Fin</v>
      </c>
      <c r="G16" s="4"/>
      <c r="H16" s="5"/>
      <c r="J16" s="10" t="s">
        <v>91</v>
      </c>
      <c r="K16" s="10" t="s">
        <v>333</v>
      </c>
      <c r="L16" s="10" t="s">
        <v>340</v>
      </c>
    </row>
    <row r="17" ht="15.75" customHeight="1">
      <c r="B17" s="11" t="s">
        <v>28</v>
      </c>
      <c r="C17" s="12" t="s">
        <v>341</v>
      </c>
      <c r="D17" s="12" t="s">
        <v>30</v>
      </c>
      <c r="E17" s="11" t="s">
        <v>16</v>
      </c>
      <c r="F17" s="13" t="str">
        <f t="shared" si="1"/>
        <v>Duración Sala</v>
      </c>
      <c r="G17" s="4"/>
      <c r="H17" s="5"/>
      <c r="J17" s="10" t="s">
        <v>342</v>
      </c>
      <c r="K17" s="10" t="s">
        <v>337</v>
      </c>
      <c r="L17" s="10" t="s">
        <v>343</v>
      </c>
    </row>
    <row r="18" ht="15.75" customHeight="1">
      <c r="B18" s="11" t="s">
        <v>28</v>
      </c>
      <c r="C18" s="12" t="s">
        <v>344</v>
      </c>
      <c r="D18" s="12" t="s">
        <v>30</v>
      </c>
      <c r="E18" s="11" t="s">
        <v>16</v>
      </c>
      <c r="F18" s="13" t="str">
        <f t="shared" si="1"/>
        <v>Duración Sala Inicio</v>
      </c>
      <c r="G18" s="4"/>
      <c r="H18" s="5"/>
      <c r="J18" s="10" t="s">
        <v>345</v>
      </c>
      <c r="K18" s="10" t="s">
        <v>339</v>
      </c>
      <c r="L18" s="10" t="s">
        <v>346</v>
      </c>
    </row>
    <row r="19" ht="15.75" customHeight="1">
      <c r="B19" s="11" t="s">
        <v>28</v>
      </c>
      <c r="C19" s="12" t="s">
        <v>347</v>
      </c>
      <c r="D19" s="12" t="s">
        <v>30</v>
      </c>
      <c r="E19" s="11" t="s">
        <v>16</v>
      </c>
      <c r="F19" s="13" t="str">
        <f t="shared" si="1"/>
        <v>Duración Sala Fin</v>
      </c>
      <c r="G19" s="4"/>
      <c r="H19" s="5"/>
      <c r="J19" s="10" t="s">
        <v>348</v>
      </c>
      <c r="K19" s="10" t="s">
        <v>341</v>
      </c>
      <c r="L19" s="10" t="s">
        <v>349</v>
      </c>
    </row>
    <row r="20" ht="15.75" customHeight="1">
      <c r="B20" s="11" t="s">
        <v>28</v>
      </c>
      <c r="C20" s="12" t="s">
        <v>350</v>
      </c>
      <c r="D20" s="12" t="s">
        <v>40</v>
      </c>
      <c r="E20" s="11" t="s">
        <v>16</v>
      </c>
      <c r="F20" s="13" t="str">
        <f t="shared" si="1"/>
        <v>Numero de documento profesional</v>
      </c>
      <c r="G20" s="4"/>
      <c r="H20" s="5"/>
      <c r="J20" s="10" t="s">
        <v>351</v>
      </c>
      <c r="K20" s="10" t="s">
        <v>344</v>
      </c>
      <c r="L20" s="10" t="s">
        <v>352</v>
      </c>
    </row>
    <row r="21" ht="15.75" customHeight="1">
      <c r="B21" s="11" t="s">
        <v>28</v>
      </c>
      <c r="C21" s="12" t="s">
        <v>353</v>
      </c>
      <c r="D21" s="12" t="s">
        <v>15</v>
      </c>
      <c r="E21" s="11" t="s">
        <v>16</v>
      </c>
      <c r="F21" s="13" t="str">
        <f t="shared" si="1"/>
        <v>Tipo de documento de profesional</v>
      </c>
      <c r="G21" s="4"/>
      <c r="H21" s="5"/>
      <c r="J21" s="10" t="s">
        <v>354</v>
      </c>
      <c r="K21" s="10" t="s">
        <v>347</v>
      </c>
      <c r="L21" s="10" t="s">
        <v>355</v>
      </c>
    </row>
    <row r="22" ht="15.75" customHeight="1">
      <c r="B22" s="11" t="s">
        <v>28</v>
      </c>
      <c r="C22" s="12" t="s">
        <v>356</v>
      </c>
      <c r="D22" s="12" t="s">
        <v>50</v>
      </c>
      <c r="E22" s="11" t="s">
        <v>16</v>
      </c>
      <c r="F22" s="13" t="str">
        <f t="shared" si="1"/>
        <v>Hora Inicio Operacion</v>
      </c>
      <c r="G22" s="4"/>
      <c r="H22" s="5"/>
      <c r="J22" s="10" t="s">
        <v>47</v>
      </c>
      <c r="K22" s="10" t="s">
        <v>350</v>
      </c>
      <c r="L22" s="10" t="s">
        <v>357</v>
      </c>
    </row>
    <row r="23" ht="15.75" customHeight="1">
      <c r="B23" s="11" t="s">
        <v>28</v>
      </c>
      <c r="C23" s="12" t="s">
        <v>358</v>
      </c>
      <c r="D23" s="12" t="s">
        <v>50</v>
      </c>
      <c r="E23" s="11" t="s">
        <v>16</v>
      </c>
      <c r="F23" s="13" t="str">
        <f t="shared" si="1"/>
        <v>Hora fin Operacion</v>
      </c>
      <c r="G23" s="4"/>
      <c r="H23" s="5"/>
      <c r="J23" s="10" t="s">
        <v>44</v>
      </c>
      <c r="K23" s="10" t="s">
        <v>353</v>
      </c>
      <c r="L23" s="10" t="s">
        <v>359</v>
      </c>
    </row>
    <row r="24" ht="15.75" customHeight="1">
      <c r="B24" s="11" t="s">
        <v>28</v>
      </c>
      <c r="C24" s="12" t="s">
        <v>360</v>
      </c>
      <c r="D24" s="12" t="s">
        <v>50</v>
      </c>
      <c r="E24" s="11" t="s">
        <v>16</v>
      </c>
      <c r="F24" s="13" t="str">
        <f t="shared" si="1"/>
        <v>Hora Duracion de Operacion</v>
      </c>
      <c r="G24" s="4"/>
      <c r="H24" s="5"/>
      <c r="J24" s="10" t="s">
        <v>361</v>
      </c>
      <c r="K24" s="10" t="s">
        <v>356</v>
      </c>
      <c r="L24" s="10" t="s">
        <v>362</v>
      </c>
    </row>
    <row r="25" ht="15.75" customHeight="1">
      <c r="B25" s="11" t="s">
        <v>28</v>
      </c>
      <c r="C25" s="12" t="s">
        <v>363</v>
      </c>
      <c r="D25" s="12" t="s">
        <v>77</v>
      </c>
      <c r="E25" s="11" t="s">
        <v>16</v>
      </c>
      <c r="F25" s="13" t="str">
        <f t="shared" si="1"/>
        <v>Destino de operacion</v>
      </c>
      <c r="G25" s="4"/>
      <c r="H25" s="5"/>
      <c r="J25" s="10" t="s">
        <v>364</v>
      </c>
      <c r="K25" s="10" t="s">
        <v>358</v>
      </c>
      <c r="L25" s="10" t="s">
        <v>365</v>
      </c>
    </row>
    <row r="26" ht="15.75" customHeight="1">
      <c r="B26" s="11" t="s">
        <v>28</v>
      </c>
      <c r="C26" s="12" t="s">
        <v>29</v>
      </c>
      <c r="D26" s="12" t="s">
        <v>30</v>
      </c>
      <c r="E26" s="11" t="s">
        <v>16</v>
      </c>
      <c r="F26" s="13" t="str">
        <f t="shared" si="1"/>
        <v>Fecha Solicitud de Sala de Operación</v>
      </c>
      <c r="G26" s="4"/>
      <c r="H26" s="5"/>
      <c r="J26" s="10" t="s">
        <v>366</v>
      </c>
      <c r="K26" s="10" t="s">
        <v>360</v>
      </c>
      <c r="L26" s="10" t="s">
        <v>367</v>
      </c>
    </row>
    <row r="27" ht="15.75" customHeight="1">
      <c r="B27" s="11" t="s">
        <v>28</v>
      </c>
      <c r="C27" s="12" t="s">
        <v>33</v>
      </c>
      <c r="D27" s="12" t="s">
        <v>25</v>
      </c>
      <c r="E27" s="11" t="s">
        <v>16</v>
      </c>
      <c r="F27" s="13" t="str">
        <f t="shared" si="1"/>
        <v>Número de Acto Médico Origen Solicitud</v>
      </c>
      <c r="G27" s="4"/>
      <c r="H27" s="5"/>
      <c r="J27" s="10" t="s">
        <v>302</v>
      </c>
      <c r="K27" s="10" t="s">
        <v>363</v>
      </c>
      <c r="L27" s="10" t="s">
        <v>368</v>
      </c>
    </row>
    <row r="28" ht="15.75" customHeight="1">
      <c r="B28" s="11" t="s">
        <v>28</v>
      </c>
      <c r="C28" s="12" t="s">
        <v>175</v>
      </c>
      <c r="D28" s="12" t="s">
        <v>25</v>
      </c>
      <c r="E28" s="11" t="s">
        <v>16</v>
      </c>
      <c r="F28" s="13" t="str">
        <f t="shared" si="1"/>
        <v>Numero de Secuencia del Paciente Buscado</v>
      </c>
      <c r="G28" s="4"/>
      <c r="H28" s="5"/>
      <c r="J28" s="10" t="s">
        <v>305</v>
      </c>
      <c r="K28" s="10" t="s">
        <v>306</v>
      </c>
      <c r="L28" s="10" t="s">
        <v>369</v>
      </c>
    </row>
    <row r="29" ht="15.75" customHeight="1">
      <c r="J29" s="10" t="s">
        <v>319</v>
      </c>
      <c r="K29" s="10" t="s">
        <v>29</v>
      </c>
      <c r="L29" s="10" t="s">
        <v>38</v>
      </c>
    </row>
    <row r="30" ht="15.75" customHeight="1">
      <c r="J30" s="10" t="s">
        <v>320</v>
      </c>
      <c r="K30" s="10" t="s">
        <v>33</v>
      </c>
      <c r="L30" s="10" t="s">
        <v>42</v>
      </c>
    </row>
    <row r="31" ht="15.75" customHeight="1">
      <c r="J31" s="10" t="s">
        <v>236</v>
      </c>
      <c r="K31" s="10" t="s">
        <v>175</v>
      </c>
      <c r="L31" s="10" t="s">
        <v>237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</sheetData>
  <mergeCells count="31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32:H32"/>
    <mergeCell ref="F33:H33"/>
    <mergeCell ref="F34:H34"/>
    <mergeCell ref="F25:H25"/>
    <mergeCell ref="F26:H26"/>
    <mergeCell ref="F27:H27"/>
    <mergeCell ref="F28:H28"/>
    <mergeCell ref="F29:H29"/>
    <mergeCell ref="F30:H30"/>
    <mergeCell ref="F31:H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>
      <c r="J2" s="16"/>
    </row>
    <row r="3" ht="15.75" customHeight="1">
      <c r="B3" s="1" t="s">
        <v>0</v>
      </c>
      <c r="C3" s="2" t="s">
        <v>370</v>
      </c>
      <c r="D3" s="2"/>
      <c r="E3" s="2"/>
      <c r="F3" s="2"/>
      <c r="G3" s="2"/>
      <c r="H3" s="3"/>
    </row>
    <row r="4" ht="15.75" customHeight="1">
      <c r="B4" s="1" t="s">
        <v>371</v>
      </c>
      <c r="C4" s="4"/>
      <c r="D4" s="4"/>
      <c r="E4" s="4"/>
      <c r="F4" s="4"/>
      <c r="G4" s="4"/>
      <c r="H4" s="5"/>
      <c r="J4" s="6" t="s">
        <v>3</v>
      </c>
      <c r="K4" s="6" t="s">
        <v>4</v>
      </c>
      <c r="L4" s="6" t="s">
        <v>5</v>
      </c>
    </row>
    <row r="5" ht="15.75" customHeight="1"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4"/>
      <c r="H5" s="5"/>
      <c r="J5" s="10" t="s">
        <v>11</v>
      </c>
      <c r="K5" s="10" t="s">
        <v>258</v>
      </c>
      <c r="L5" s="10" t="s">
        <v>259</v>
      </c>
    </row>
    <row r="6" ht="15.75" customHeight="1">
      <c r="B6" s="11" t="s">
        <v>28</v>
      </c>
      <c r="C6" s="12" t="s">
        <v>258</v>
      </c>
      <c r="D6" s="12" t="s">
        <v>15</v>
      </c>
      <c r="E6" s="11" t="s">
        <v>16</v>
      </c>
      <c r="F6" s="13" t="str">
        <f t="shared" ref="F6:F16" si="1">VLOOKUP(C6,$K$4:$L$83,2,0)</f>
        <v>Código Origen Centro Asistencial</v>
      </c>
      <c r="G6" s="4"/>
      <c r="H6" s="5"/>
      <c r="J6" s="10" t="s">
        <v>17</v>
      </c>
      <c r="K6" s="10" t="s">
        <v>260</v>
      </c>
      <c r="L6" s="10" t="s">
        <v>19</v>
      </c>
    </row>
    <row r="7" ht="15.75" customHeight="1">
      <c r="B7" s="11" t="s">
        <v>28</v>
      </c>
      <c r="C7" s="12" t="s">
        <v>260</v>
      </c>
      <c r="D7" s="12" t="s">
        <v>20</v>
      </c>
      <c r="E7" s="11" t="s">
        <v>16</v>
      </c>
      <c r="F7" s="13" t="str">
        <f t="shared" si="1"/>
        <v>Código Centro Asistencial</v>
      </c>
      <c r="G7" s="4"/>
      <c r="H7" s="5"/>
      <c r="J7" s="10" t="s">
        <v>21</v>
      </c>
      <c r="K7" s="10" t="s">
        <v>22</v>
      </c>
      <c r="L7" s="10" t="s">
        <v>23</v>
      </c>
    </row>
    <row r="8" ht="15.75" customHeight="1">
      <c r="B8" s="11" t="s">
        <v>28</v>
      </c>
      <c r="C8" s="12" t="s">
        <v>261</v>
      </c>
      <c r="D8" s="12" t="s">
        <v>25</v>
      </c>
      <c r="E8" s="11" t="s">
        <v>16</v>
      </c>
      <c r="F8" s="13" t="str">
        <f t="shared" si="1"/>
        <v>Número Solicitud de Sala de Operaciones</v>
      </c>
      <c r="G8" s="4"/>
      <c r="H8" s="5"/>
      <c r="J8" s="10" t="s">
        <v>26</v>
      </c>
      <c r="K8" s="10" t="s">
        <v>22</v>
      </c>
      <c r="L8" s="10" t="s">
        <v>27</v>
      </c>
    </row>
    <row r="9" ht="15.75" customHeight="1">
      <c r="B9" s="11" t="s">
        <v>28</v>
      </c>
      <c r="C9" s="12" t="s">
        <v>262</v>
      </c>
      <c r="D9" s="12" t="s">
        <v>94</v>
      </c>
      <c r="E9" s="11" t="s">
        <v>16</v>
      </c>
      <c r="F9" s="13" t="str">
        <f t="shared" si="1"/>
        <v>Número de Secuencia de Registro (01)</v>
      </c>
      <c r="G9" s="4"/>
      <c r="H9" s="5"/>
      <c r="J9" s="10" t="s">
        <v>31</v>
      </c>
      <c r="K9" s="10" t="s">
        <v>22</v>
      </c>
      <c r="L9" s="10" t="s">
        <v>32</v>
      </c>
    </row>
    <row r="10" ht="15.75" customHeight="1">
      <c r="B10" s="11" t="s">
        <v>28</v>
      </c>
      <c r="C10" s="12" t="s">
        <v>372</v>
      </c>
      <c r="D10" s="12" t="s">
        <v>15</v>
      </c>
      <c r="E10" s="11" t="s">
        <v>16</v>
      </c>
      <c r="F10" s="13" t="str">
        <f t="shared" si="1"/>
        <v>Código Condición Diagnóstico</v>
      </c>
      <c r="G10" s="4"/>
      <c r="H10" s="5"/>
      <c r="J10" s="10" t="s">
        <v>326</v>
      </c>
      <c r="K10" s="10" t="s">
        <v>261</v>
      </c>
      <c r="L10" s="10" t="s">
        <v>264</v>
      </c>
    </row>
    <row r="11" ht="15.75" customHeight="1">
      <c r="B11" s="11" t="s">
        <v>28</v>
      </c>
      <c r="C11" s="12" t="s">
        <v>373</v>
      </c>
      <c r="D11" s="12" t="s">
        <v>374</v>
      </c>
      <c r="E11" s="11" t="s">
        <v>16</v>
      </c>
      <c r="F11" s="13" t="str">
        <f t="shared" si="1"/>
        <v>Código Diagnóstico</v>
      </c>
      <c r="G11" s="4"/>
      <c r="H11" s="5"/>
      <c r="J11" s="10" t="s">
        <v>375</v>
      </c>
      <c r="K11" s="10" t="s">
        <v>262</v>
      </c>
      <c r="L11" s="10" t="s">
        <v>266</v>
      </c>
    </row>
    <row r="12" ht="15.75" customHeight="1">
      <c r="B12" s="11" t="s">
        <v>28</v>
      </c>
      <c r="C12" s="12" t="s">
        <v>376</v>
      </c>
      <c r="D12" s="12" t="s">
        <v>15</v>
      </c>
      <c r="E12" s="11" t="s">
        <v>16</v>
      </c>
      <c r="F12" s="13" t="str">
        <f t="shared" si="1"/>
        <v>Código Tipo Diagnóstico</v>
      </c>
      <c r="G12" s="4"/>
      <c r="H12" s="5"/>
      <c r="J12" s="10" t="s">
        <v>377</v>
      </c>
      <c r="K12" s="10" t="s">
        <v>372</v>
      </c>
      <c r="L12" s="10" t="s">
        <v>378</v>
      </c>
    </row>
    <row r="13" ht="15.75" customHeight="1">
      <c r="B13" s="11" t="s">
        <v>28</v>
      </c>
      <c r="C13" s="12" t="s">
        <v>379</v>
      </c>
      <c r="D13" s="12" t="s">
        <v>94</v>
      </c>
      <c r="E13" s="11" t="s">
        <v>16</v>
      </c>
      <c r="F13" s="13" t="str">
        <f t="shared" si="1"/>
        <v>Número de Orden del Diagnóstico</v>
      </c>
      <c r="G13" s="4"/>
      <c r="H13" s="5"/>
      <c r="J13" s="10" t="s">
        <v>380</v>
      </c>
      <c r="K13" s="10" t="s">
        <v>381</v>
      </c>
      <c r="L13" s="10" t="s">
        <v>382</v>
      </c>
    </row>
    <row r="14" ht="15.75" customHeight="1">
      <c r="B14" s="11" t="s">
        <v>28</v>
      </c>
      <c r="C14" s="12" t="s">
        <v>29</v>
      </c>
      <c r="D14" s="12" t="s">
        <v>30</v>
      </c>
      <c r="E14" s="11" t="s">
        <v>16</v>
      </c>
      <c r="F14" s="13" t="str">
        <f t="shared" si="1"/>
        <v>Fecha Solicitud de Sala de Operación</v>
      </c>
      <c r="G14" s="4"/>
      <c r="H14" s="5"/>
      <c r="J14" s="10" t="s">
        <v>383</v>
      </c>
      <c r="K14" s="10" t="s">
        <v>373</v>
      </c>
      <c r="L14" s="10" t="s">
        <v>384</v>
      </c>
    </row>
    <row r="15" ht="15.75" customHeight="1">
      <c r="B15" s="11" t="s">
        <v>28</v>
      </c>
      <c r="C15" s="12" t="s">
        <v>33</v>
      </c>
      <c r="D15" s="12" t="s">
        <v>25</v>
      </c>
      <c r="E15" s="11" t="s">
        <v>16</v>
      </c>
      <c r="F15" s="13" t="str">
        <f t="shared" si="1"/>
        <v>Número de Acto Médico Origen Solicitud</v>
      </c>
      <c r="G15" s="4"/>
      <c r="H15" s="5"/>
      <c r="J15" s="10" t="s">
        <v>385</v>
      </c>
      <c r="K15" s="10" t="s">
        <v>386</v>
      </c>
      <c r="L15" s="10" t="s">
        <v>387</v>
      </c>
    </row>
    <row r="16" ht="15.75" customHeight="1">
      <c r="B16" s="11" t="s">
        <v>28</v>
      </c>
      <c r="C16" s="12" t="s">
        <v>175</v>
      </c>
      <c r="D16" s="12" t="s">
        <v>25</v>
      </c>
      <c r="E16" s="11" t="s">
        <v>16</v>
      </c>
      <c r="F16" s="13" t="str">
        <f t="shared" si="1"/>
        <v>Numero de Secuencia del Paciente Buscado</v>
      </c>
      <c r="G16" s="4"/>
      <c r="H16" s="5"/>
      <c r="J16" s="10" t="s">
        <v>388</v>
      </c>
      <c r="K16" s="10" t="s">
        <v>376</v>
      </c>
      <c r="L16" s="10" t="s">
        <v>389</v>
      </c>
    </row>
    <row r="17" ht="15.75" customHeight="1">
      <c r="B17" s="11"/>
      <c r="C17" s="12"/>
      <c r="D17" s="12"/>
      <c r="E17" s="11"/>
      <c r="F17" s="13"/>
      <c r="G17" s="4"/>
      <c r="H17" s="5"/>
      <c r="J17" s="10" t="s">
        <v>390</v>
      </c>
      <c r="K17" s="10" t="s">
        <v>391</v>
      </c>
      <c r="L17" s="10" t="s">
        <v>392</v>
      </c>
    </row>
    <row r="18" ht="15.75" customHeight="1">
      <c r="B18" s="11"/>
      <c r="C18" s="12"/>
      <c r="D18" s="12"/>
      <c r="E18" s="11"/>
      <c r="F18" s="13"/>
      <c r="G18" s="4"/>
      <c r="H18" s="5"/>
      <c r="J18" s="10" t="s">
        <v>393</v>
      </c>
      <c r="K18" s="10" t="s">
        <v>379</v>
      </c>
      <c r="L18" s="10" t="s">
        <v>394</v>
      </c>
    </row>
    <row r="19" ht="15.75" customHeight="1">
      <c r="B19" s="11"/>
      <c r="C19" s="12"/>
      <c r="D19" s="12"/>
      <c r="E19" s="11"/>
      <c r="F19" s="13"/>
      <c r="G19" s="4"/>
      <c r="H19" s="5"/>
      <c r="J19" s="10" t="s">
        <v>319</v>
      </c>
      <c r="K19" s="10" t="s">
        <v>29</v>
      </c>
      <c r="L19" s="10" t="s">
        <v>38</v>
      </c>
    </row>
    <row r="20" ht="15.75" customHeight="1">
      <c r="B20" s="11"/>
      <c r="C20" s="12"/>
      <c r="D20" s="12"/>
      <c r="E20" s="11"/>
      <c r="F20" s="13"/>
      <c r="G20" s="4"/>
      <c r="H20" s="5"/>
      <c r="J20" s="10" t="s">
        <v>41</v>
      </c>
      <c r="K20" s="10" t="s">
        <v>33</v>
      </c>
      <c r="L20" s="10" t="s">
        <v>42</v>
      </c>
    </row>
    <row r="21" ht="15.75" customHeight="1">
      <c r="B21" s="11"/>
      <c r="C21" s="12"/>
      <c r="D21" s="12"/>
      <c r="E21" s="11"/>
      <c r="F21" s="13"/>
      <c r="G21" s="4"/>
      <c r="H21" s="5"/>
      <c r="J21" s="10" t="s">
        <v>236</v>
      </c>
      <c r="K21" s="10" t="s">
        <v>175</v>
      </c>
      <c r="L21" s="10" t="s">
        <v>237</v>
      </c>
    </row>
    <row r="22" ht="15.75" customHeight="1">
      <c r="B22" s="11"/>
      <c r="C22" s="12"/>
      <c r="D22" s="12"/>
      <c r="E22" s="11"/>
      <c r="F22" s="13"/>
      <c r="G22" s="4"/>
      <c r="H22" s="5"/>
      <c r="J22" s="17"/>
      <c r="K22" s="17"/>
      <c r="L22" s="17"/>
    </row>
    <row r="23" ht="15.75" customHeight="1">
      <c r="B23" s="11"/>
      <c r="C23" s="12"/>
      <c r="D23" s="12"/>
      <c r="E23" s="11"/>
      <c r="F23" s="13"/>
      <c r="G23" s="4"/>
      <c r="H23" s="5"/>
      <c r="J23" s="17"/>
      <c r="K23" s="17"/>
      <c r="L23" s="17"/>
    </row>
    <row r="24" ht="15.75" customHeight="1">
      <c r="B24" s="11"/>
      <c r="C24" s="12"/>
      <c r="D24" s="12"/>
      <c r="E24" s="11"/>
      <c r="F24" s="13"/>
      <c r="G24" s="4"/>
      <c r="H24" s="5"/>
      <c r="J24" s="18"/>
      <c r="K24" s="18"/>
      <c r="L24" s="18"/>
    </row>
    <row r="25" ht="15.75" customHeight="1">
      <c r="B25" s="11"/>
      <c r="C25" s="12"/>
      <c r="D25" s="12"/>
      <c r="E25" s="11"/>
      <c r="F25" s="13"/>
      <c r="G25" s="4"/>
      <c r="H25" s="5"/>
      <c r="J25" s="17"/>
      <c r="K25" s="17"/>
      <c r="L25" s="17"/>
    </row>
    <row r="26" ht="15.75" customHeight="1">
      <c r="B26" s="11"/>
      <c r="C26" s="12"/>
      <c r="D26" s="12"/>
      <c r="E26" s="11"/>
      <c r="F26" s="13"/>
      <c r="G26" s="4"/>
      <c r="H26" s="5"/>
      <c r="J26" s="17"/>
      <c r="K26" s="17"/>
      <c r="L26" s="17"/>
    </row>
    <row r="27" ht="15.75" customHeight="1">
      <c r="B27" s="11"/>
      <c r="C27" s="12"/>
      <c r="D27" s="12"/>
      <c r="E27" s="11"/>
      <c r="F27" s="13"/>
      <c r="G27" s="4"/>
      <c r="H27" s="5"/>
      <c r="J27" s="17"/>
      <c r="K27" s="17"/>
      <c r="L27" s="17"/>
    </row>
    <row r="28" ht="15.75" customHeight="1">
      <c r="B28" s="11"/>
      <c r="C28" s="12"/>
      <c r="D28" s="12"/>
      <c r="E28" s="11"/>
      <c r="F28" s="13"/>
      <c r="G28" s="4"/>
      <c r="H28" s="5"/>
      <c r="J28" s="17"/>
      <c r="K28" s="17"/>
      <c r="L28" s="1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</sheetData>
  <mergeCells count="31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32:H32"/>
    <mergeCell ref="F33:H33"/>
    <mergeCell ref="F34:H34"/>
    <mergeCell ref="F25:H25"/>
    <mergeCell ref="F26:H26"/>
    <mergeCell ref="F27:H27"/>
    <mergeCell ref="F28:H28"/>
    <mergeCell ref="F29:H29"/>
    <mergeCell ref="F30:H30"/>
    <mergeCell ref="F31:H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>
      <c r="J2" s="16"/>
    </row>
    <row r="3" ht="15.75" customHeight="1">
      <c r="B3" s="1" t="s">
        <v>0</v>
      </c>
      <c r="C3" s="2" t="s">
        <v>395</v>
      </c>
      <c r="D3" s="2"/>
      <c r="E3" s="2"/>
      <c r="F3" s="2"/>
      <c r="G3" s="2"/>
      <c r="H3" s="3"/>
    </row>
    <row r="4" ht="15.75" customHeight="1">
      <c r="B4" s="1" t="s">
        <v>396</v>
      </c>
      <c r="C4" s="4"/>
      <c r="D4" s="4"/>
      <c r="E4" s="4"/>
      <c r="F4" s="4"/>
      <c r="G4" s="4"/>
      <c r="H4" s="5"/>
      <c r="J4" s="6" t="s">
        <v>3</v>
      </c>
      <c r="K4" s="6" t="s">
        <v>4</v>
      </c>
      <c r="L4" s="6" t="s">
        <v>5</v>
      </c>
    </row>
    <row r="5" ht="15.75" customHeight="1"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4"/>
      <c r="H5" s="5"/>
      <c r="J5" s="10" t="s">
        <v>11</v>
      </c>
      <c r="K5" s="10" t="s">
        <v>258</v>
      </c>
      <c r="L5" s="10" t="s">
        <v>259</v>
      </c>
    </row>
    <row r="6" ht="15.75" customHeight="1">
      <c r="B6" s="11" t="s">
        <v>28</v>
      </c>
      <c r="C6" s="12" t="s">
        <v>258</v>
      </c>
      <c r="D6" s="12" t="s">
        <v>15</v>
      </c>
      <c r="E6" s="11" t="s">
        <v>16</v>
      </c>
      <c r="F6" s="13" t="str">
        <f t="shared" ref="F6:F17" si="1">VLOOKUP(C6,$K$4:$L$83,2,0)</f>
        <v>Código Origen Centro Asistencial</v>
      </c>
      <c r="G6" s="4"/>
      <c r="H6" s="5"/>
      <c r="J6" s="10" t="s">
        <v>17</v>
      </c>
      <c r="K6" s="10" t="s">
        <v>260</v>
      </c>
      <c r="L6" s="10" t="s">
        <v>19</v>
      </c>
    </row>
    <row r="7" ht="15.75" customHeight="1">
      <c r="B7" s="11" t="s">
        <v>28</v>
      </c>
      <c r="C7" s="12" t="s">
        <v>260</v>
      </c>
      <c r="D7" s="12" t="s">
        <v>20</v>
      </c>
      <c r="E7" s="11" t="s">
        <v>16</v>
      </c>
      <c r="F7" s="13" t="str">
        <f t="shared" si="1"/>
        <v>Código Centro Asistencial</v>
      </c>
      <c r="G7" s="4"/>
      <c r="H7" s="5"/>
      <c r="J7" s="10" t="s">
        <v>21</v>
      </c>
      <c r="K7" s="10" t="s">
        <v>397</v>
      </c>
      <c r="L7" s="10" t="s">
        <v>23</v>
      </c>
    </row>
    <row r="8" ht="15.75" customHeight="1">
      <c r="B8" s="11" t="s">
        <v>28</v>
      </c>
      <c r="C8" s="12" t="s">
        <v>261</v>
      </c>
      <c r="D8" s="12" t="s">
        <v>25</v>
      </c>
      <c r="E8" s="11" t="s">
        <v>16</v>
      </c>
      <c r="F8" s="13" t="str">
        <f t="shared" si="1"/>
        <v>Número Solicitud de Sala de Operaciones</v>
      </c>
      <c r="G8" s="4"/>
      <c r="H8" s="5"/>
      <c r="J8" s="10" t="s">
        <v>26</v>
      </c>
      <c r="K8" s="10" t="s">
        <v>397</v>
      </c>
      <c r="L8" s="10" t="s">
        <v>27</v>
      </c>
    </row>
    <row r="9" ht="15.75" customHeight="1">
      <c r="B9" s="11" t="s">
        <v>28</v>
      </c>
      <c r="C9" s="12" t="s">
        <v>262</v>
      </c>
      <c r="D9" s="12" t="s">
        <v>94</v>
      </c>
      <c r="E9" s="11" t="s">
        <v>16</v>
      </c>
      <c r="F9" s="13" t="str">
        <f t="shared" si="1"/>
        <v>Número de Secuencia de Registro (01)</v>
      </c>
      <c r="G9" s="4"/>
      <c r="H9" s="5"/>
      <c r="J9" s="10" t="s">
        <v>31</v>
      </c>
      <c r="K9" s="10" t="s">
        <v>397</v>
      </c>
      <c r="L9" s="10" t="s">
        <v>32</v>
      </c>
    </row>
    <row r="10" ht="15.75" customHeight="1">
      <c r="B10" s="11" t="s">
        <v>28</v>
      </c>
      <c r="C10" s="12" t="s">
        <v>398</v>
      </c>
      <c r="D10" s="12" t="s">
        <v>40</v>
      </c>
      <c r="E10" s="11" t="s">
        <v>16</v>
      </c>
      <c r="F10" s="13" t="str">
        <f t="shared" si="1"/>
        <v>Código de Procedimiento, Examen o Perfil</v>
      </c>
      <c r="G10" s="4"/>
      <c r="H10" s="5"/>
      <c r="J10" s="10" t="s">
        <v>326</v>
      </c>
      <c r="K10" s="10" t="s">
        <v>261</v>
      </c>
      <c r="L10" s="10" t="s">
        <v>264</v>
      </c>
    </row>
    <row r="11" ht="15.75" customHeight="1">
      <c r="B11" s="11" t="s">
        <v>28</v>
      </c>
      <c r="C11" s="12" t="s">
        <v>399</v>
      </c>
      <c r="D11" s="12" t="s">
        <v>15</v>
      </c>
      <c r="E11" s="11" t="s">
        <v>16</v>
      </c>
      <c r="F11" s="13" t="str">
        <f t="shared" si="1"/>
        <v>Código Origen Centro Asistencial Especialidad Quirúrgica Operación</v>
      </c>
      <c r="G11" s="4"/>
      <c r="H11" s="5"/>
      <c r="J11" s="10" t="s">
        <v>375</v>
      </c>
      <c r="K11" s="10" t="s">
        <v>262</v>
      </c>
      <c r="L11" s="10" t="s">
        <v>266</v>
      </c>
    </row>
    <row r="12" ht="15.75" customHeight="1">
      <c r="B12" s="11" t="s">
        <v>28</v>
      </c>
      <c r="C12" s="12" t="s">
        <v>400</v>
      </c>
      <c r="D12" s="12" t="s">
        <v>20</v>
      </c>
      <c r="E12" s="11" t="s">
        <v>16</v>
      </c>
      <c r="F12" s="13" t="str">
        <f t="shared" si="1"/>
        <v>Código Centro Asistencial Especialidad Quirúrgica Operación</v>
      </c>
      <c r="G12" s="4"/>
      <c r="H12" s="5"/>
      <c r="J12" s="10" t="s">
        <v>401</v>
      </c>
      <c r="K12" s="10" t="s">
        <v>398</v>
      </c>
      <c r="L12" s="10" t="s">
        <v>402</v>
      </c>
    </row>
    <row r="13" ht="15.75" customHeight="1">
      <c r="B13" s="11" t="s">
        <v>28</v>
      </c>
      <c r="C13" s="12" t="s">
        <v>403</v>
      </c>
      <c r="D13" s="12" t="s">
        <v>77</v>
      </c>
      <c r="E13" s="11" t="s">
        <v>16</v>
      </c>
      <c r="F13" s="13" t="str">
        <f t="shared" si="1"/>
        <v>Código Area Hospitalaria Especialidad Quirúrgica Operación</v>
      </c>
      <c r="G13" s="4"/>
      <c r="H13" s="5"/>
      <c r="J13" s="10" t="s">
        <v>404</v>
      </c>
      <c r="K13" s="10" t="s">
        <v>399</v>
      </c>
      <c r="L13" s="10" t="s">
        <v>405</v>
      </c>
    </row>
    <row r="14" ht="15.75" customHeight="1">
      <c r="B14" s="11" t="s">
        <v>28</v>
      </c>
      <c r="C14" s="12" t="s">
        <v>406</v>
      </c>
      <c r="D14" s="12" t="s">
        <v>20</v>
      </c>
      <c r="E14" s="11" t="s">
        <v>16</v>
      </c>
      <c r="F14" s="13" t="str">
        <f t="shared" si="1"/>
        <v>Código Especialidad Quirúrgica (Servicio) Operación</v>
      </c>
      <c r="G14" s="4"/>
      <c r="H14" s="5"/>
      <c r="J14" s="10" t="s">
        <v>407</v>
      </c>
      <c r="K14" s="10" t="s">
        <v>400</v>
      </c>
      <c r="L14" s="10" t="s">
        <v>408</v>
      </c>
    </row>
    <row r="15" ht="15.75" customHeight="1">
      <c r="B15" s="11" t="s">
        <v>28</v>
      </c>
      <c r="C15" s="12" t="s">
        <v>29</v>
      </c>
      <c r="D15" s="12" t="s">
        <v>30</v>
      </c>
      <c r="E15" s="11" t="s">
        <v>16</v>
      </c>
      <c r="F15" s="13" t="str">
        <f t="shared" si="1"/>
        <v>Fecha Solicitud de Sala de Operación</v>
      </c>
      <c r="G15" s="4"/>
      <c r="H15" s="5"/>
      <c r="J15" s="10" t="s">
        <v>409</v>
      </c>
      <c r="K15" s="10" t="s">
        <v>403</v>
      </c>
      <c r="L15" s="10" t="s">
        <v>410</v>
      </c>
    </row>
    <row r="16" ht="15.75" customHeight="1">
      <c r="B16" s="11" t="s">
        <v>28</v>
      </c>
      <c r="C16" s="12" t="s">
        <v>33</v>
      </c>
      <c r="D16" s="12" t="s">
        <v>25</v>
      </c>
      <c r="E16" s="11" t="s">
        <v>16</v>
      </c>
      <c r="F16" s="13" t="str">
        <f t="shared" si="1"/>
        <v>Número de Acto Médico Origen Solicitud</v>
      </c>
      <c r="G16" s="4"/>
      <c r="H16" s="5"/>
      <c r="J16" s="10" t="s">
        <v>115</v>
      </c>
      <c r="K16" s="10" t="s">
        <v>140</v>
      </c>
      <c r="L16" s="10" t="s">
        <v>411</v>
      </c>
    </row>
    <row r="17" ht="15.75" customHeight="1">
      <c r="B17" s="11" t="s">
        <v>28</v>
      </c>
      <c r="C17" s="12" t="s">
        <v>175</v>
      </c>
      <c r="D17" s="12" t="s">
        <v>25</v>
      </c>
      <c r="E17" s="11" t="s">
        <v>16</v>
      </c>
      <c r="F17" s="13" t="str">
        <f t="shared" si="1"/>
        <v>Numero de Secuencia del Paciente Buscado</v>
      </c>
      <c r="G17" s="4"/>
      <c r="H17" s="5"/>
      <c r="J17" s="10" t="s">
        <v>412</v>
      </c>
      <c r="K17" s="10" t="s">
        <v>406</v>
      </c>
      <c r="L17" s="10" t="s">
        <v>413</v>
      </c>
    </row>
    <row r="18" ht="15.75" customHeight="1">
      <c r="B18" s="11"/>
      <c r="C18" s="12"/>
      <c r="D18" s="12"/>
      <c r="E18" s="11"/>
      <c r="F18" s="13"/>
      <c r="G18" s="4"/>
      <c r="H18" s="5"/>
      <c r="J18" s="10" t="s">
        <v>122</v>
      </c>
      <c r="K18" s="10" t="s">
        <v>123</v>
      </c>
      <c r="L18" s="10" t="s">
        <v>414</v>
      </c>
    </row>
    <row r="19" ht="15.75" customHeight="1">
      <c r="B19" s="11"/>
      <c r="C19" s="12"/>
      <c r="D19" s="12"/>
      <c r="E19" s="11"/>
      <c r="F19" s="13"/>
      <c r="G19" s="4"/>
      <c r="H19" s="5"/>
      <c r="J19" s="10" t="s">
        <v>319</v>
      </c>
      <c r="K19" s="10" t="s">
        <v>29</v>
      </c>
      <c r="L19" s="10" t="s">
        <v>38</v>
      </c>
    </row>
    <row r="20" ht="15.75" customHeight="1">
      <c r="B20" s="11"/>
      <c r="C20" s="12"/>
      <c r="D20" s="12"/>
      <c r="E20" s="11"/>
      <c r="F20" s="13"/>
      <c r="G20" s="4"/>
      <c r="H20" s="5"/>
      <c r="J20" s="10" t="s">
        <v>41</v>
      </c>
      <c r="K20" s="10" t="s">
        <v>33</v>
      </c>
      <c r="L20" s="10" t="s">
        <v>42</v>
      </c>
    </row>
    <row r="21" ht="15.75" customHeight="1">
      <c r="B21" s="11"/>
      <c r="C21" s="12"/>
      <c r="D21" s="12"/>
      <c r="E21" s="11"/>
      <c r="F21" s="13"/>
      <c r="G21" s="4"/>
      <c r="H21" s="5"/>
      <c r="J21" s="10" t="s">
        <v>236</v>
      </c>
      <c r="K21" s="10" t="s">
        <v>175</v>
      </c>
      <c r="L21" s="10" t="s">
        <v>237</v>
      </c>
    </row>
    <row r="22" ht="15.75" customHeight="1">
      <c r="B22" s="11"/>
      <c r="C22" s="12"/>
      <c r="D22" s="12"/>
      <c r="E22" s="11"/>
      <c r="F22" s="13"/>
      <c r="G22" s="4"/>
      <c r="H22" s="5"/>
      <c r="J22" s="17"/>
      <c r="K22" s="17"/>
      <c r="L22" s="17"/>
    </row>
    <row r="23" ht="15.75" customHeight="1">
      <c r="B23" s="11"/>
      <c r="C23" s="12"/>
      <c r="D23" s="12"/>
      <c r="E23" s="11"/>
      <c r="F23" s="13"/>
      <c r="G23" s="4"/>
      <c r="H23" s="5"/>
      <c r="J23" s="17"/>
      <c r="K23" s="17"/>
      <c r="L23" s="17"/>
    </row>
    <row r="24" ht="15.75" customHeight="1">
      <c r="B24" s="11"/>
      <c r="C24" s="12"/>
      <c r="D24" s="12"/>
      <c r="E24" s="11"/>
      <c r="F24" s="13"/>
      <c r="G24" s="4"/>
      <c r="H24" s="5"/>
      <c r="J24" s="18"/>
      <c r="K24" s="18"/>
      <c r="L24" s="1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26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25:H25"/>
    <mergeCell ref="F26:H26"/>
    <mergeCell ref="F27:H27"/>
    <mergeCell ref="F28:H28"/>
    <mergeCell ref="F29:H29"/>
    <mergeCell ref="F18:H18"/>
    <mergeCell ref="F19:H19"/>
    <mergeCell ref="F20:H20"/>
    <mergeCell ref="F21:H21"/>
    <mergeCell ref="F22:H22"/>
    <mergeCell ref="F23:H23"/>
    <mergeCell ref="F24:H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>
      <c r="J2" s="16" t="s">
        <v>321</v>
      </c>
    </row>
    <row r="3" ht="15.75" customHeight="1">
      <c r="B3" s="1" t="s">
        <v>0</v>
      </c>
      <c r="C3" s="2" t="s">
        <v>415</v>
      </c>
      <c r="D3" s="2"/>
      <c r="E3" s="2"/>
      <c r="F3" s="2"/>
      <c r="G3" s="2"/>
      <c r="H3" s="3"/>
    </row>
    <row r="4" ht="15.75" customHeight="1">
      <c r="B4" s="1" t="s">
        <v>416</v>
      </c>
      <c r="C4" s="4"/>
      <c r="D4" s="4"/>
      <c r="E4" s="4"/>
      <c r="F4" s="4"/>
      <c r="G4" s="4"/>
      <c r="H4" s="5"/>
      <c r="J4" s="19"/>
      <c r="K4" s="19"/>
      <c r="L4" s="19"/>
      <c r="M4" s="19"/>
      <c r="N4" s="19"/>
      <c r="O4" s="19"/>
    </row>
    <row r="5" ht="15.75" customHeight="1"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4"/>
      <c r="H5" s="5"/>
      <c r="J5" s="6" t="s">
        <v>3</v>
      </c>
      <c r="K5" s="6" t="s">
        <v>4</v>
      </c>
      <c r="L5" s="6" t="s">
        <v>5</v>
      </c>
      <c r="M5" s="19"/>
      <c r="N5" s="20"/>
      <c r="O5" s="19"/>
    </row>
    <row r="6" ht="15.75" customHeight="1">
      <c r="B6" s="11" t="s">
        <v>28</v>
      </c>
      <c r="C6" s="12" t="s">
        <v>258</v>
      </c>
      <c r="D6" s="12" t="s">
        <v>15</v>
      </c>
      <c r="E6" s="11" t="s">
        <v>16</v>
      </c>
      <c r="F6" s="13" t="str">
        <f t="shared" ref="F6:F15" si="1">VLOOKUP(C6,$K$4:$L$83,2,0)</f>
        <v>Código Origen Centro Asistencial</v>
      </c>
      <c r="G6" s="4"/>
      <c r="H6" s="5"/>
      <c r="J6" s="10" t="s">
        <v>11</v>
      </c>
      <c r="K6" s="10" t="s">
        <v>258</v>
      </c>
      <c r="L6" s="10" t="s">
        <v>259</v>
      </c>
      <c r="M6" s="19"/>
      <c r="N6" s="20"/>
      <c r="O6" s="19"/>
    </row>
    <row r="7" ht="15.75" customHeight="1">
      <c r="B7" s="11" t="s">
        <v>28</v>
      </c>
      <c r="C7" s="12" t="s">
        <v>260</v>
      </c>
      <c r="D7" s="12" t="s">
        <v>20</v>
      </c>
      <c r="E7" s="11" t="s">
        <v>16</v>
      </c>
      <c r="F7" s="13" t="str">
        <f t="shared" si="1"/>
        <v>Código Centro Asistencial</v>
      </c>
      <c r="G7" s="4"/>
      <c r="H7" s="5"/>
      <c r="J7" s="10" t="s">
        <v>17</v>
      </c>
      <c r="K7" s="10" t="s">
        <v>260</v>
      </c>
      <c r="L7" s="10" t="s">
        <v>19</v>
      </c>
      <c r="M7" s="19"/>
      <c r="N7" s="20"/>
      <c r="O7" s="19"/>
    </row>
    <row r="8" ht="15.75" customHeight="1">
      <c r="B8" s="11" t="s">
        <v>28</v>
      </c>
      <c r="C8" s="12" t="s">
        <v>261</v>
      </c>
      <c r="D8" s="12" t="s">
        <v>25</v>
      </c>
      <c r="E8" s="11" t="s">
        <v>16</v>
      </c>
      <c r="F8" s="13" t="str">
        <f t="shared" si="1"/>
        <v>Número Solicitud de Sala de Operaciones</v>
      </c>
      <c r="G8" s="4"/>
      <c r="H8" s="5"/>
      <c r="J8" s="10" t="s">
        <v>21</v>
      </c>
      <c r="K8" s="10" t="s">
        <v>397</v>
      </c>
      <c r="L8" s="10" t="s">
        <v>23</v>
      </c>
      <c r="M8" s="19"/>
      <c r="N8" s="20"/>
      <c r="O8" s="19"/>
    </row>
    <row r="9" ht="15.75" customHeight="1">
      <c r="B9" s="11" t="s">
        <v>28</v>
      </c>
      <c r="C9" s="12" t="s">
        <v>324</v>
      </c>
      <c r="D9" s="12" t="s">
        <v>94</v>
      </c>
      <c r="E9" s="11" t="s">
        <v>16</v>
      </c>
      <c r="F9" s="13" t="str">
        <f t="shared" si="1"/>
        <v>Código de informe anestesiologo</v>
      </c>
      <c r="G9" s="4"/>
      <c r="H9" s="5"/>
      <c r="J9" s="10" t="s">
        <v>26</v>
      </c>
      <c r="K9" s="10" t="s">
        <v>397</v>
      </c>
      <c r="L9" s="10" t="s">
        <v>27</v>
      </c>
      <c r="M9" s="19"/>
      <c r="N9" s="19"/>
      <c r="O9" s="19"/>
    </row>
    <row r="10" ht="15.75" customHeight="1">
      <c r="B10" s="11" t="s">
        <v>28</v>
      </c>
      <c r="C10" s="12" t="s">
        <v>417</v>
      </c>
      <c r="D10" s="12" t="s">
        <v>94</v>
      </c>
      <c r="E10" s="11" t="s">
        <v>16</v>
      </c>
      <c r="F10" s="13" t="str">
        <f t="shared" si="1"/>
        <v>Secuencia de Anestesia</v>
      </c>
      <c r="G10" s="4"/>
      <c r="H10" s="5"/>
      <c r="J10" s="10" t="s">
        <v>31</v>
      </c>
      <c r="K10" s="10" t="s">
        <v>397</v>
      </c>
      <c r="L10" s="10" t="s">
        <v>32</v>
      </c>
      <c r="M10" s="19"/>
      <c r="N10" s="19"/>
      <c r="O10" s="19"/>
    </row>
    <row r="11" ht="15.75" customHeight="1">
      <c r="B11" s="11" t="s">
        <v>28</v>
      </c>
      <c r="C11" s="12" t="s">
        <v>418</v>
      </c>
      <c r="D11" s="12" t="s">
        <v>20</v>
      </c>
      <c r="E11" s="11" t="s">
        <v>16</v>
      </c>
      <c r="F11" s="13" t="str">
        <f t="shared" si="1"/>
        <v>Código de Anestesia</v>
      </c>
      <c r="G11" s="4"/>
      <c r="H11" s="5"/>
      <c r="J11" s="10" t="s">
        <v>326</v>
      </c>
      <c r="K11" s="10" t="s">
        <v>261</v>
      </c>
      <c r="L11" s="10" t="s">
        <v>264</v>
      </c>
      <c r="M11" s="19"/>
      <c r="N11" s="19"/>
      <c r="O11" s="19"/>
    </row>
    <row r="12" ht="15.75" customHeight="1">
      <c r="B12" s="11" t="s">
        <v>28</v>
      </c>
      <c r="C12" s="12" t="s">
        <v>419</v>
      </c>
      <c r="D12" s="12" t="s">
        <v>15</v>
      </c>
      <c r="E12" s="11" t="s">
        <v>16</v>
      </c>
      <c r="F12" s="13" t="str">
        <f t="shared" si="1"/>
        <v>Estado de Registro</v>
      </c>
      <c r="G12" s="4"/>
      <c r="H12" s="5"/>
      <c r="J12" s="10" t="s">
        <v>328</v>
      </c>
      <c r="K12" s="10" t="s">
        <v>324</v>
      </c>
      <c r="L12" s="10" t="s">
        <v>329</v>
      </c>
      <c r="M12" s="19"/>
      <c r="N12" s="19"/>
      <c r="O12" s="19"/>
    </row>
    <row r="13" ht="15.75" customHeight="1">
      <c r="B13" s="11" t="s">
        <v>28</v>
      </c>
      <c r="C13" s="12" t="s">
        <v>29</v>
      </c>
      <c r="D13" s="12" t="s">
        <v>30</v>
      </c>
      <c r="E13" s="11" t="s">
        <v>16</v>
      </c>
      <c r="F13" s="13" t="str">
        <f t="shared" si="1"/>
        <v>Fecha Solicitud de Sala de Operación</v>
      </c>
      <c r="G13" s="4"/>
      <c r="H13" s="5"/>
      <c r="J13" s="10" t="s">
        <v>420</v>
      </c>
      <c r="K13" s="10" t="s">
        <v>417</v>
      </c>
      <c r="L13" s="10" t="s">
        <v>421</v>
      </c>
      <c r="M13" s="19"/>
      <c r="N13" s="19"/>
      <c r="O13" s="19"/>
    </row>
    <row r="14" ht="15.75" customHeight="1">
      <c r="B14" s="11" t="s">
        <v>28</v>
      </c>
      <c r="C14" s="12" t="s">
        <v>33</v>
      </c>
      <c r="D14" s="12" t="s">
        <v>25</v>
      </c>
      <c r="E14" s="11" t="s">
        <v>16</v>
      </c>
      <c r="F14" s="13" t="str">
        <f t="shared" si="1"/>
        <v>Número de Acto Médico Origen Solicitud</v>
      </c>
      <c r="G14" s="4"/>
      <c r="H14" s="5"/>
      <c r="J14" s="10" t="s">
        <v>422</v>
      </c>
      <c r="K14" s="10" t="s">
        <v>418</v>
      </c>
      <c r="L14" s="10" t="s">
        <v>423</v>
      </c>
      <c r="M14" s="19"/>
      <c r="N14" s="19"/>
      <c r="O14" s="19"/>
    </row>
    <row r="15" ht="15.75" customHeight="1">
      <c r="B15" s="11" t="s">
        <v>28</v>
      </c>
      <c r="C15" s="12" t="s">
        <v>175</v>
      </c>
      <c r="D15" s="12" t="s">
        <v>25</v>
      </c>
      <c r="E15" s="11" t="s">
        <v>16</v>
      </c>
      <c r="F15" s="13" t="str">
        <f t="shared" si="1"/>
        <v>Numero de Secuencia del Paciente Buscado</v>
      </c>
      <c r="G15" s="4"/>
      <c r="H15" s="5"/>
      <c r="J15" s="10" t="s">
        <v>424</v>
      </c>
      <c r="K15" s="21" t="s">
        <v>187</v>
      </c>
      <c r="L15" s="10" t="s">
        <v>425</v>
      </c>
      <c r="M15" s="19"/>
      <c r="N15" s="19"/>
      <c r="O15" s="19"/>
    </row>
    <row r="16" ht="15.75" customHeight="1">
      <c r="B16" s="11"/>
      <c r="C16" s="12"/>
      <c r="D16" s="12"/>
      <c r="E16" s="11"/>
      <c r="F16" s="13"/>
      <c r="G16" s="4"/>
      <c r="H16" s="5"/>
      <c r="J16" s="10" t="s">
        <v>74</v>
      </c>
      <c r="K16" s="10" t="s">
        <v>419</v>
      </c>
      <c r="L16" s="10" t="s">
        <v>426</v>
      </c>
      <c r="M16" s="19"/>
      <c r="N16" s="20"/>
      <c r="O16" s="19"/>
    </row>
    <row r="17" ht="15.75" customHeight="1">
      <c r="B17" s="11"/>
      <c r="C17" s="12"/>
      <c r="D17" s="12"/>
      <c r="E17" s="11"/>
      <c r="F17" s="13"/>
      <c r="G17" s="4"/>
      <c r="H17" s="5"/>
      <c r="J17" s="10" t="s">
        <v>319</v>
      </c>
      <c r="K17" s="10" t="s">
        <v>29</v>
      </c>
      <c r="L17" s="10" t="s">
        <v>38</v>
      </c>
      <c r="M17" s="19"/>
      <c r="N17" s="20"/>
      <c r="O17" s="20"/>
    </row>
    <row r="18" ht="15.75" customHeight="1">
      <c r="B18" s="11"/>
      <c r="C18" s="12"/>
      <c r="D18" s="12"/>
      <c r="E18" s="11"/>
      <c r="F18" s="13"/>
      <c r="G18" s="4"/>
      <c r="H18" s="5"/>
      <c r="J18" s="10" t="s">
        <v>41</v>
      </c>
      <c r="K18" s="10" t="s">
        <v>33</v>
      </c>
      <c r="L18" s="10" t="s">
        <v>42</v>
      </c>
      <c r="M18" s="19"/>
      <c r="N18" s="20"/>
      <c r="O18" s="20"/>
    </row>
    <row r="19" ht="15.75" customHeight="1">
      <c r="B19" s="11"/>
      <c r="C19" s="12"/>
      <c r="D19" s="12"/>
      <c r="E19" s="11"/>
      <c r="F19" s="13"/>
      <c r="G19" s="4"/>
      <c r="H19" s="5"/>
      <c r="J19" s="10" t="s">
        <v>236</v>
      </c>
      <c r="K19" s="10" t="s">
        <v>175</v>
      </c>
      <c r="L19" s="10" t="s">
        <v>237</v>
      </c>
      <c r="M19" s="19"/>
      <c r="N19" s="20"/>
      <c r="O19" s="19"/>
    </row>
    <row r="20" ht="15.75" customHeight="1">
      <c r="B20" s="11"/>
      <c r="C20" s="12"/>
      <c r="D20" s="12"/>
      <c r="E20" s="11"/>
      <c r="F20" s="13"/>
      <c r="G20" s="4"/>
      <c r="H20" s="5"/>
      <c r="J20" s="19"/>
      <c r="K20" s="19"/>
      <c r="L20" s="19"/>
      <c r="M20" s="19"/>
      <c r="N20" s="20"/>
      <c r="O20" s="19"/>
    </row>
    <row r="21" ht="15.75" customHeight="1">
      <c r="B21" s="11"/>
      <c r="C21" s="12"/>
      <c r="D21" s="12"/>
      <c r="E21" s="11"/>
      <c r="F21" s="13"/>
      <c r="G21" s="4"/>
      <c r="H21" s="5"/>
      <c r="J21" s="19"/>
      <c r="K21" s="19"/>
      <c r="L21" s="19"/>
      <c r="M21" s="19"/>
      <c r="N21" s="19"/>
      <c r="O21" s="20"/>
    </row>
    <row r="22" ht="15.75" customHeight="1">
      <c r="B22" s="11"/>
      <c r="C22" s="12"/>
      <c r="D22" s="12"/>
      <c r="E22" s="11"/>
      <c r="F22" s="13"/>
      <c r="G22" s="4"/>
      <c r="H22" s="5"/>
      <c r="J22" s="19"/>
      <c r="K22" s="19"/>
      <c r="L22" s="19"/>
      <c r="M22" s="19"/>
      <c r="N22" s="19"/>
      <c r="O22" s="19"/>
    </row>
    <row r="23" ht="15.75" customHeight="1">
      <c r="B23" s="11"/>
      <c r="C23" s="12"/>
      <c r="D23" s="12"/>
      <c r="E23" s="11"/>
      <c r="F23" s="13"/>
      <c r="G23" s="4"/>
      <c r="H23" s="5"/>
      <c r="J23" s="19"/>
      <c r="K23" s="19"/>
      <c r="L23" s="19"/>
      <c r="M23" s="19"/>
      <c r="N23" s="19"/>
      <c r="O23" s="19"/>
    </row>
    <row r="24" ht="15.75" customHeight="1">
      <c r="B24" s="11"/>
      <c r="C24" s="12"/>
      <c r="D24" s="12"/>
      <c r="E24" s="11"/>
      <c r="F24" s="13"/>
      <c r="G24" s="4"/>
      <c r="H24" s="5"/>
      <c r="J24" s="19"/>
      <c r="K24" s="19"/>
      <c r="L24" s="19"/>
      <c r="M24" s="19"/>
      <c r="N24" s="19"/>
      <c r="O24" s="19"/>
    </row>
    <row r="25" ht="15.75" customHeight="1">
      <c r="B25" s="11"/>
      <c r="C25" s="12"/>
      <c r="D25" s="12"/>
      <c r="E25" s="11"/>
      <c r="F25" s="13"/>
      <c r="G25" s="4"/>
      <c r="H25" s="5"/>
      <c r="J25" s="19"/>
      <c r="K25" s="19"/>
      <c r="L25" s="19"/>
      <c r="M25" s="19"/>
      <c r="N25" s="20"/>
      <c r="O25" s="19"/>
    </row>
    <row r="26" ht="15.75" customHeight="1">
      <c r="B26" s="11"/>
      <c r="C26" s="12"/>
      <c r="D26" s="12"/>
      <c r="E26" s="11"/>
      <c r="F26" s="13"/>
      <c r="G26" s="4"/>
      <c r="H26" s="5"/>
      <c r="J26" s="19"/>
      <c r="K26" s="19"/>
      <c r="L26" s="19"/>
      <c r="M26" s="19"/>
      <c r="N26" s="20"/>
      <c r="O26" s="19"/>
    </row>
    <row r="27" ht="15.75" customHeight="1">
      <c r="B27" s="11"/>
      <c r="C27" s="12"/>
      <c r="D27" s="12"/>
      <c r="E27" s="11"/>
      <c r="F27" s="13"/>
      <c r="G27" s="4"/>
      <c r="H27" s="5"/>
      <c r="J27" s="19"/>
      <c r="K27" s="19"/>
      <c r="L27" s="19"/>
      <c r="M27" s="19"/>
      <c r="N27" s="20"/>
      <c r="O27" s="19"/>
    </row>
    <row r="28" ht="15.75" customHeight="1">
      <c r="B28" s="11"/>
      <c r="C28" s="12"/>
      <c r="D28" s="12"/>
      <c r="E28" s="11"/>
      <c r="F28" s="13"/>
      <c r="G28" s="4"/>
      <c r="H28" s="5"/>
      <c r="J28" s="19"/>
      <c r="K28" s="19"/>
      <c r="L28" s="19"/>
      <c r="M28" s="19"/>
      <c r="N28" s="20"/>
      <c r="O28" s="1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</sheetData>
  <mergeCells count="31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32:H32"/>
    <mergeCell ref="F33:H33"/>
    <mergeCell ref="F34:H34"/>
    <mergeCell ref="F25:H25"/>
    <mergeCell ref="F26:H26"/>
    <mergeCell ref="F27:H27"/>
    <mergeCell ref="F28:H28"/>
    <mergeCell ref="F29:H29"/>
    <mergeCell ref="F30:H30"/>
    <mergeCell ref="F31:H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0"/>
    <col customWidth="1" min="3" max="3" width="23.63"/>
    <col customWidth="1" min="4" max="4" width="19.75"/>
    <col customWidth="1" min="5" max="5" width="7.38"/>
    <col customWidth="1" min="10" max="10" width="28.25"/>
    <col customWidth="1" min="11" max="11" width="20.75"/>
    <col customWidth="1" min="12" max="12" width="46.0"/>
  </cols>
  <sheetData>
    <row r="1" ht="15.75" customHeight="1"/>
    <row r="2" ht="15.75" customHeight="1">
      <c r="J2" s="16"/>
    </row>
    <row r="3" ht="15.75" customHeight="1">
      <c r="B3" s="1" t="s">
        <v>0</v>
      </c>
      <c r="C3" s="2" t="s">
        <v>427</v>
      </c>
      <c r="D3" s="2"/>
      <c r="E3" s="2"/>
      <c r="F3" s="2"/>
      <c r="G3" s="2"/>
      <c r="H3" s="3"/>
    </row>
    <row r="4" ht="15.75" customHeight="1">
      <c r="B4" s="1" t="s">
        <v>428</v>
      </c>
      <c r="C4" s="4"/>
      <c r="D4" s="4"/>
      <c r="E4" s="4"/>
      <c r="F4" s="4"/>
      <c r="G4" s="4"/>
      <c r="H4" s="5"/>
      <c r="J4" s="6" t="s">
        <v>3</v>
      </c>
      <c r="K4" s="6" t="s">
        <v>4</v>
      </c>
      <c r="L4" s="6" t="s">
        <v>5</v>
      </c>
      <c r="M4" s="19"/>
      <c r="N4" s="19"/>
      <c r="O4" s="19"/>
    </row>
    <row r="5" ht="15.75" customHeight="1"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4"/>
      <c r="H5" s="5"/>
      <c r="J5" s="10" t="s">
        <v>11</v>
      </c>
      <c r="K5" s="10" t="s">
        <v>12</v>
      </c>
      <c r="L5" s="10" t="s">
        <v>13</v>
      </c>
      <c r="M5" s="19"/>
      <c r="N5" s="19"/>
      <c r="O5" s="19"/>
    </row>
    <row r="6" ht="15.75" customHeight="1">
      <c r="B6" s="11" t="s">
        <v>28</v>
      </c>
      <c r="C6" s="12" t="s">
        <v>12</v>
      </c>
      <c r="D6" s="12" t="s">
        <v>15</v>
      </c>
      <c r="E6" s="11" t="s">
        <v>16</v>
      </c>
      <c r="F6" s="13" t="str">
        <f t="shared" ref="F6:F17" si="1">VLOOKUP(C6,$K$4:$L$83,2,0)</f>
        <v>Código Origen Centro Asistencal</v>
      </c>
      <c r="G6" s="4"/>
      <c r="H6" s="5"/>
      <c r="J6" s="10" t="s">
        <v>17</v>
      </c>
      <c r="K6" s="10" t="s">
        <v>18</v>
      </c>
      <c r="L6" s="10" t="s">
        <v>19</v>
      </c>
      <c r="M6" s="19"/>
      <c r="N6" s="19"/>
      <c r="O6" s="19"/>
    </row>
    <row r="7" ht="15.75" customHeight="1">
      <c r="B7" s="11" t="s">
        <v>28</v>
      </c>
      <c r="C7" s="12" t="s">
        <v>18</v>
      </c>
      <c r="D7" s="12" t="s">
        <v>20</v>
      </c>
      <c r="E7" s="11" t="s">
        <v>16</v>
      </c>
      <c r="F7" s="13" t="str">
        <f t="shared" si="1"/>
        <v>Código Centro Asistencial</v>
      </c>
      <c r="G7" s="4"/>
      <c r="H7" s="5"/>
      <c r="J7" s="10" t="s">
        <v>21</v>
      </c>
      <c r="K7" s="10" t="s">
        <v>397</v>
      </c>
      <c r="L7" s="10" t="s">
        <v>23</v>
      </c>
      <c r="M7" s="19"/>
      <c r="N7" s="19"/>
      <c r="O7" s="19"/>
    </row>
    <row r="8" ht="15.75" customHeight="1">
      <c r="B8" s="11" t="s">
        <v>28</v>
      </c>
      <c r="C8" s="12" t="s">
        <v>24</v>
      </c>
      <c r="D8" s="12" t="s">
        <v>25</v>
      </c>
      <c r="E8" s="11" t="s">
        <v>16</v>
      </c>
      <c r="F8" s="13" t="str">
        <f t="shared" si="1"/>
        <v>Número Solicitud de Sala de Operación</v>
      </c>
      <c r="G8" s="4"/>
      <c r="H8" s="5"/>
      <c r="J8" s="10" t="s">
        <v>26</v>
      </c>
      <c r="K8" s="10" t="s">
        <v>397</v>
      </c>
      <c r="L8" s="10" t="s">
        <v>27</v>
      </c>
      <c r="M8" s="19"/>
      <c r="N8" s="19"/>
      <c r="O8" s="19"/>
    </row>
    <row r="9" ht="15.75" customHeight="1">
      <c r="B9" s="11" t="s">
        <v>28</v>
      </c>
      <c r="C9" s="12" t="s">
        <v>429</v>
      </c>
      <c r="D9" s="12" t="s">
        <v>40</v>
      </c>
      <c r="E9" s="11" t="s">
        <v>16</v>
      </c>
      <c r="F9" s="13" t="str">
        <f t="shared" si="1"/>
        <v>Código de Procedimiento, Examen o Perfil</v>
      </c>
      <c r="G9" s="4"/>
      <c r="H9" s="5"/>
      <c r="J9" s="10" t="s">
        <v>31</v>
      </c>
      <c r="K9" s="10" t="s">
        <v>397</v>
      </c>
      <c r="L9" s="10" t="s">
        <v>32</v>
      </c>
      <c r="M9" s="19"/>
      <c r="N9" s="19"/>
      <c r="O9" s="19"/>
    </row>
    <row r="10" ht="15.75" customHeight="1">
      <c r="B10" s="11" t="s">
        <v>28</v>
      </c>
      <c r="C10" s="12" t="s">
        <v>430</v>
      </c>
      <c r="D10" s="12" t="s">
        <v>299</v>
      </c>
      <c r="E10" s="11" t="s">
        <v>16</v>
      </c>
      <c r="F10" s="13" t="str">
        <f t="shared" si="1"/>
        <v>Indicador Procedimiento Quiurgico Principal</v>
      </c>
      <c r="G10" s="4"/>
      <c r="H10" s="5"/>
      <c r="J10" s="10" t="s">
        <v>326</v>
      </c>
      <c r="K10" s="10" t="s">
        <v>24</v>
      </c>
      <c r="L10" s="10" t="s">
        <v>35</v>
      </c>
      <c r="M10" s="19"/>
      <c r="N10" s="19"/>
      <c r="O10" s="19"/>
    </row>
    <row r="11" ht="15.75" customHeight="1">
      <c r="B11" s="11" t="s">
        <v>28</v>
      </c>
      <c r="C11" s="12" t="s">
        <v>431</v>
      </c>
      <c r="D11" s="12" t="s">
        <v>40</v>
      </c>
      <c r="E11" s="11" t="s">
        <v>16</v>
      </c>
      <c r="F11" s="13" t="str">
        <f t="shared" si="1"/>
        <v>Código de Paquete Quirurgico Operacion</v>
      </c>
      <c r="G11" s="4"/>
      <c r="H11" s="5"/>
      <c r="J11" s="10" t="s">
        <v>401</v>
      </c>
      <c r="K11" s="10" t="s">
        <v>429</v>
      </c>
      <c r="L11" s="10" t="s">
        <v>402</v>
      </c>
      <c r="M11" s="19"/>
      <c r="N11" s="19"/>
      <c r="O11" s="19"/>
    </row>
    <row r="12" ht="15.75" customHeight="1">
      <c r="B12" s="11" t="s">
        <v>28</v>
      </c>
      <c r="C12" s="12" t="s">
        <v>432</v>
      </c>
      <c r="D12" s="12" t="s">
        <v>94</v>
      </c>
      <c r="E12" s="11" t="s">
        <v>16</v>
      </c>
      <c r="F12" s="13" t="str">
        <f t="shared" si="1"/>
        <v>Número de Secuencia del Paquete</v>
      </c>
      <c r="G12" s="4"/>
      <c r="H12" s="5"/>
      <c r="J12" s="10" t="s">
        <v>433</v>
      </c>
      <c r="K12" s="10" t="s">
        <v>430</v>
      </c>
      <c r="L12" s="10" t="s">
        <v>434</v>
      </c>
      <c r="M12" s="19"/>
      <c r="N12" s="19"/>
      <c r="O12" s="19"/>
    </row>
    <row r="13" ht="15.75" customHeight="1">
      <c r="B13" s="11" t="s">
        <v>28</v>
      </c>
      <c r="C13" s="12" t="s">
        <v>435</v>
      </c>
      <c r="D13" s="12" t="s">
        <v>25</v>
      </c>
      <c r="E13" s="11" t="s">
        <v>16</v>
      </c>
      <c r="F13" s="13" t="str">
        <f t="shared" si="1"/>
        <v>Número de Solicitud de Medicamento</v>
      </c>
      <c r="G13" s="4"/>
      <c r="H13" s="5"/>
      <c r="J13" s="10" t="s">
        <v>436</v>
      </c>
      <c r="K13" s="10" t="s">
        <v>431</v>
      </c>
      <c r="L13" s="10" t="s">
        <v>437</v>
      </c>
      <c r="M13" s="19"/>
      <c r="N13" s="19"/>
      <c r="O13" s="19"/>
    </row>
    <row r="14" ht="15.75" customHeight="1">
      <c r="B14" s="11" t="s">
        <v>28</v>
      </c>
      <c r="C14" s="12" t="s">
        <v>438</v>
      </c>
      <c r="D14" s="12" t="s">
        <v>15</v>
      </c>
      <c r="E14" s="11" t="s">
        <v>16</v>
      </c>
      <c r="F14" s="13" t="str">
        <f t="shared" si="1"/>
        <v>Sin Información</v>
      </c>
      <c r="G14" s="4"/>
      <c r="H14" s="5"/>
      <c r="J14" s="10" t="s">
        <v>439</v>
      </c>
      <c r="K14" s="10" t="s">
        <v>432</v>
      </c>
      <c r="L14" s="10" t="s">
        <v>440</v>
      </c>
      <c r="M14" s="19"/>
      <c r="N14" s="19"/>
      <c r="O14" s="19"/>
    </row>
    <row r="15" ht="15.75" customHeight="1">
      <c r="B15" s="11" t="s">
        <v>28</v>
      </c>
      <c r="C15" s="12" t="s">
        <v>29</v>
      </c>
      <c r="D15" s="12" t="s">
        <v>30</v>
      </c>
      <c r="E15" s="11" t="s">
        <v>16</v>
      </c>
      <c r="F15" s="13" t="str">
        <f t="shared" si="1"/>
        <v>Fecha Solicitud de Sala de Operación</v>
      </c>
      <c r="G15" s="4"/>
      <c r="H15" s="5"/>
      <c r="J15" s="10" t="s">
        <v>441</v>
      </c>
      <c r="K15" s="10" t="s">
        <v>435</v>
      </c>
      <c r="L15" s="10" t="s">
        <v>442</v>
      </c>
      <c r="M15" s="19"/>
      <c r="N15" s="19"/>
      <c r="O15" s="19"/>
    </row>
    <row r="16" ht="15.75" customHeight="1">
      <c r="B16" s="11" t="s">
        <v>28</v>
      </c>
      <c r="C16" s="12" t="s">
        <v>33</v>
      </c>
      <c r="D16" s="12" t="s">
        <v>25</v>
      </c>
      <c r="E16" s="11" t="s">
        <v>16</v>
      </c>
      <c r="F16" s="13" t="str">
        <f t="shared" si="1"/>
        <v>Número de Acto Médico Origen Solicitud</v>
      </c>
      <c r="G16" s="4"/>
      <c r="H16" s="5"/>
      <c r="J16" s="10" t="s">
        <v>443</v>
      </c>
      <c r="K16" s="10" t="s">
        <v>438</v>
      </c>
      <c r="L16" s="15" t="s">
        <v>251</v>
      </c>
      <c r="M16" s="19"/>
      <c r="N16" s="20"/>
      <c r="O16" s="19"/>
    </row>
    <row r="17" ht="15.75" customHeight="1">
      <c r="B17" s="11" t="s">
        <v>28</v>
      </c>
      <c r="C17" s="12" t="s">
        <v>175</v>
      </c>
      <c r="D17" s="12" t="s">
        <v>25</v>
      </c>
      <c r="E17" s="11" t="s">
        <v>16</v>
      </c>
      <c r="F17" s="13" t="str">
        <f t="shared" si="1"/>
        <v>Numero de Secuencia del Paciente Buscado</v>
      </c>
      <c r="G17" s="4"/>
      <c r="H17" s="5"/>
      <c r="J17" s="10" t="s">
        <v>319</v>
      </c>
      <c r="K17" s="10" t="s">
        <v>29</v>
      </c>
      <c r="L17" s="10" t="s">
        <v>38</v>
      </c>
      <c r="M17" s="19"/>
      <c r="N17" s="20"/>
      <c r="O17" s="20"/>
    </row>
    <row r="18" ht="15.75" customHeight="1">
      <c r="B18" s="11"/>
      <c r="C18" s="12"/>
      <c r="D18" s="12"/>
      <c r="E18" s="11"/>
      <c r="F18" s="13"/>
      <c r="G18" s="4"/>
      <c r="H18" s="5"/>
      <c r="J18" s="10" t="s">
        <v>41</v>
      </c>
      <c r="K18" s="10" t="s">
        <v>33</v>
      </c>
      <c r="L18" s="10" t="s">
        <v>42</v>
      </c>
      <c r="M18" s="19"/>
      <c r="N18" s="20"/>
      <c r="O18" s="20"/>
    </row>
    <row r="19" ht="15.75" customHeight="1">
      <c r="B19" s="11"/>
      <c r="C19" s="12"/>
      <c r="D19" s="12"/>
      <c r="E19" s="11"/>
      <c r="F19" s="13"/>
      <c r="G19" s="4"/>
      <c r="H19" s="5"/>
      <c r="J19" s="10" t="s">
        <v>236</v>
      </c>
      <c r="K19" s="10" t="s">
        <v>175</v>
      </c>
      <c r="L19" s="10" t="s">
        <v>237</v>
      </c>
      <c r="M19" s="19"/>
      <c r="N19" s="20"/>
      <c r="O19" s="19"/>
    </row>
    <row r="20" ht="15.75" customHeight="1">
      <c r="B20" s="11"/>
      <c r="C20" s="12"/>
      <c r="D20" s="12"/>
      <c r="E20" s="11"/>
      <c r="F20" s="13"/>
      <c r="G20" s="4"/>
      <c r="H20" s="5"/>
      <c r="J20" s="19"/>
      <c r="K20" s="19"/>
      <c r="L20" s="19"/>
      <c r="M20" s="19"/>
      <c r="N20" s="20"/>
      <c r="O20" s="19"/>
    </row>
    <row r="21" ht="15.75" customHeight="1">
      <c r="B21" s="11"/>
      <c r="C21" s="12"/>
      <c r="D21" s="12"/>
      <c r="E21" s="11"/>
      <c r="F21" s="13"/>
      <c r="G21" s="4"/>
      <c r="H21" s="5"/>
      <c r="J21" s="19"/>
      <c r="K21" s="19"/>
      <c r="L21" s="19"/>
      <c r="M21" s="19"/>
      <c r="N21" s="19"/>
      <c r="O21" s="20"/>
    </row>
    <row r="22" ht="15.75" customHeight="1">
      <c r="B22" s="11"/>
      <c r="C22" s="12"/>
      <c r="D22" s="12"/>
      <c r="E22" s="11"/>
      <c r="F22" s="13"/>
      <c r="G22" s="4"/>
      <c r="H22" s="5"/>
      <c r="J22" s="19"/>
      <c r="K22" s="19"/>
      <c r="L22" s="19"/>
      <c r="M22" s="19"/>
      <c r="N22" s="19"/>
      <c r="O22" s="19"/>
    </row>
    <row r="23" ht="15.75" customHeight="1">
      <c r="B23" s="11"/>
      <c r="C23" s="12"/>
      <c r="D23" s="12"/>
      <c r="E23" s="11"/>
      <c r="F23" s="13"/>
      <c r="G23" s="4"/>
      <c r="H23" s="5"/>
      <c r="J23" s="19"/>
      <c r="K23" s="19"/>
      <c r="L23" s="19"/>
      <c r="M23" s="19"/>
      <c r="N23" s="19"/>
      <c r="O23" s="19"/>
    </row>
    <row r="24" ht="15.75" customHeight="1">
      <c r="B24" s="11"/>
      <c r="C24" s="12"/>
      <c r="D24" s="12"/>
      <c r="E24" s="11"/>
      <c r="F24" s="13"/>
      <c r="G24" s="4"/>
      <c r="H24" s="5"/>
      <c r="J24" s="19"/>
      <c r="K24" s="19"/>
      <c r="L24" s="19"/>
      <c r="M24" s="19"/>
      <c r="N24" s="19"/>
      <c r="O24" s="19"/>
    </row>
    <row r="25" ht="15.75" customHeight="1">
      <c r="B25" s="11"/>
      <c r="C25" s="12"/>
      <c r="D25" s="12"/>
      <c r="E25" s="11"/>
      <c r="F25" s="13"/>
      <c r="G25" s="4"/>
      <c r="H25" s="5"/>
      <c r="J25" s="19"/>
      <c r="K25" s="19"/>
      <c r="L25" s="19"/>
      <c r="M25" s="19"/>
      <c r="N25" s="20"/>
      <c r="O25" s="19"/>
    </row>
    <row r="26" ht="15.75" customHeight="1">
      <c r="B26" s="11"/>
      <c r="C26" s="12"/>
      <c r="D26" s="12"/>
      <c r="E26" s="11"/>
      <c r="F26" s="13"/>
      <c r="G26" s="4"/>
      <c r="H26" s="5"/>
      <c r="J26" s="19"/>
      <c r="K26" s="19"/>
      <c r="L26" s="19"/>
      <c r="M26" s="19"/>
      <c r="N26" s="20"/>
      <c r="O26" s="19"/>
    </row>
    <row r="27" ht="15.75" customHeight="1">
      <c r="B27" s="11"/>
      <c r="C27" s="12"/>
      <c r="D27" s="12"/>
      <c r="E27" s="11"/>
      <c r="F27" s="13"/>
      <c r="G27" s="4"/>
      <c r="H27" s="5"/>
      <c r="J27" s="19"/>
      <c r="K27" s="19"/>
      <c r="L27" s="19"/>
      <c r="M27" s="19"/>
      <c r="N27" s="20"/>
      <c r="O27" s="19"/>
    </row>
    <row r="28" ht="15.75" customHeight="1">
      <c r="B28" s="11"/>
      <c r="C28" s="12"/>
      <c r="D28" s="12"/>
      <c r="E28" s="11"/>
      <c r="F28" s="13"/>
      <c r="G28" s="4"/>
      <c r="H28" s="5"/>
      <c r="J28" s="19"/>
      <c r="K28" s="19"/>
      <c r="L28" s="19"/>
      <c r="M28" s="19"/>
      <c r="N28" s="20"/>
      <c r="O28" s="1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</sheetData>
  <mergeCells count="31">
    <mergeCell ref="B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32:H32"/>
    <mergeCell ref="F33:H33"/>
    <mergeCell ref="F34:H34"/>
    <mergeCell ref="F25:H25"/>
    <mergeCell ref="F26:H26"/>
    <mergeCell ref="F27:H27"/>
    <mergeCell ref="F28:H28"/>
    <mergeCell ref="F29:H29"/>
    <mergeCell ref="F30:H30"/>
    <mergeCell ref="F31:H31"/>
  </mergeCells>
  <drawing r:id="rId1"/>
</worksheet>
</file>