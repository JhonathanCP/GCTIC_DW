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ADE10" sheetId="1" r:id="rId4"/>
    <sheet state="visible" name="MTADD10" sheetId="2" r:id="rId5"/>
    <sheet state="visible" name="MTATR10" sheetId="3" r:id="rId6"/>
    <sheet state="visible" name="MTAEM10" sheetId="4" r:id="rId7"/>
    <sheet state="visible" name="MTDAE10" sheetId="5" r:id="rId8"/>
  </sheets>
  <definedNames/>
  <calcPr/>
  <extLst>
    <ext uri="GoogleSheetsCustomDataVersion2">
      <go:sheetsCustomData xmlns:go="http://customooxmlschemas.google.com/" r:id="rId9" roundtripDataChecksum="6ryI0xhaEZUIqtvHaCRRwpdY2MQXKq3qWE8oh+Ur9eA="/>
    </ext>
  </extLst>
</workbook>
</file>

<file path=xl/sharedStrings.xml><?xml version="1.0" encoding="utf-8"?>
<sst xmlns="http://schemas.openxmlformats.org/spreadsheetml/2006/main" count="1598" uniqueCount="733">
  <si>
    <t>Nombre:</t>
  </si>
  <si>
    <t>mtade10</t>
  </si>
  <si>
    <t>Descripción: Se almacenarán toda la información sobre Admisión Emergencias</t>
  </si>
  <si>
    <t>ESSI</t>
  </si>
  <si>
    <t>LAGUNA</t>
  </si>
  <si>
    <t>DESCRIPCIÓN</t>
  </si>
  <si>
    <t>PK</t>
  </si>
  <si>
    <t>Campo</t>
  </si>
  <si>
    <t>Tipo de dato</t>
  </si>
  <si>
    <t>Null</t>
  </si>
  <si>
    <t>Descripción</t>
  </si>
  <si>
    <t>acopaco</t>
  </si>
  <si>
    <t>acopaccod</t>
  </si>
  <si>
    <t>ori_cas</t>
  </si>
  <si>
    <t>AdmEmeOriCenAsiCod</t>
  </si>
  <si>
    <t>Código Origen Centro Asistencial</t>
  </si>
  <si>
    <t>SI</t>
  </si>
  <si>
    <t>admemeoricenasicod</t>
  </si>
  <si>
    <t>character(1)</t>
  </si>
  <si>
    <t>No</t>
  </si>
  <si>
    <t>act_med</t>
  </si>
  <si>
    <t>admemeactmednum</t>
  </si>
  <si>
    <t>cod_cas</t>
  </si>
  <si>
    <t>AdmEmeCenAsiCod</t>
  </si>
  <si>
    <t>Código Centro Asistencial</t>
  </si>
  <si>
    <t>admemecenasicod</t>
  </si>
  <si>
    <t>character(3)</t>
  </si>
  <si>
    <t>fec_adm</t>
  </si>
  <si>
    <t>admemeadmfec</t>
  </si>
  <si>
    <t>des_cas</t>
  </si>
  <si>
    <t>AdmEmeActMedNum</t>
  </si>
  <si>
    <t>Número de Acto Médico</t>
  </si>
  <si>
    <t>numeric(10,0)</t>
  </si>
  <si>
    <t>hor_adm</t>
  </si>
  <si>
    <t>admemeadmhor</t>
  </si>
  <si>
    <t>cod_red</t>
  </si>
  <si>
    <t>AdmEmeAreHosCod</t>
  </si>
  <si>
    <t>Código Area Hospitalaria</t>
  </si>
  <si>
    <t>NO</t>
  </si>
  <si>
    <t>admemearehoscod</t>
  </si>
  <si>
    <t>character(2)</t>
  </si>
  <si>
    <t>fec_aad</t>
  </si>
  <si>
    <t>admemealtadmfec</t>
  </si>
  <si>
    <t>des_red</t>
  </si>
  <si>
    <t>AdmEmeEmeCod</t>
  </si>
  <si>
    <t>Código de la Emergencia</t>
  </si>
  <si>
    <t>admemeemecod</t>
  </si>
  <si>
    <t>hor_aad</t>
  </si>
  <si>
    <t>admemealtadmhor</t>
  </si>
  <si>
    <t>num_sol</t>
  </si>
  <si>
    <t>AdmEmeAdmFec</t>
  </si>
  <si>
    <t>Fecha Admisión en Emergencia</t>
  </si>
  <si>
    <t>date</t>
  </si>
  <si>
    <t>obs_aad</t>
  </si>
  <si>
    <t>admemealtadmobs</t>
  </si>
  <si>
    <t>fec_sol</t>
  </si>
  <si>
    <t>AdmEmeAdmHor</t>
  </si>
  <si>
    <t>Hora Admisión en Emergencia</t>
  </si>
  <si>
    <t>timestamp</t>
  </si>
  <si>
    <t>fec_alt</t>
  </si>
  <si>
    <t>admemealtmedfec</t>
  </si>
  <si>
    <t>EstGePCod</t>
  </si>
  <si>
    <t>Código Estado General del Paciente</t>
  </si>
  <si>
    <t>estgepcod</t>
  </si>
  <si>
    <t>hor_alt</t>
  </si>
  <si>
    <t>admemealtmedhor</t>
  </si>
  <si>
    <t>cod_tdi</t>
  </si>
  <si>
    <t>TipAccCod</t>
  </si>
  <si>
    <t>Código del Tipo de Accidente</t>
  </si>
  <si>
    <t>tipacccod</t>
  </si>
  <si>
    <t>cod_are</t>
  </si>
  <si>
    <t>num_doc</t>
  </si>
  <si>
    <t>AcoPacCod</t>
  </si>
  <si>
    <t>Código de Acompañamiento Paciente</t>
  </si>
  <si>
    <t>tri_ano</t>
  </si>
  <si>
    <t>admemeatetriano</t>
  </si>
  <si>
    <t>fec_sop</t>
  </si>
  <si>
    <t>AdmEmeAcoPacNom</t>
  </si>
  <si>
    <t>Nombre y Apellidos del Acompañante</t>
  </si>
  <si>
    <t>admemeacopacnom</t>
  </si>
  <si>
    <t>character(35)</t>
  </si>
  <si>
    <t>tri_are</t>
  </si>
  <si>
    <t>admemeatetriarehoscod</t>
  </si>
  <si>
    <t>fec_pro</t>
  </si>
  <si>
    <t>AdmEmeObs</t>
  </si>
  <si>
    <t>Observaciones</t>
  </si>
  <si>
    <t>admemeobs</t>
  </si>
  <si>
    <t>character(200)</t>
  </si>
  <si>
    <t>tri_cas</t>
  </si>
  <si>
    <t>admemeatetricenasicod</t>
  </si>
  <si>
    <t>hor_pro</t>
  </si>
  <si>
    <t>AdmEmeEgrFlg</t>
  </si>
  <si>
    <t>¿Egresó de Emergencia?</t>
  </si>
  <si>
    <t>admemeegrflg</t>
  </si>
  <si>
    <t>tri_eme</t>
  </si>
  <si>
    <t>admemeatetriemecod</t>
  </si>
  <si>
    <t>est_fis</t>
  </si>
  <si>
    <t>AdmEmeAltMedFec</t>
  </si>
  <si>
    <t>Fecha del Resultado de la Atención que Indica Egreso (Alta Médica/Transferencia/Referencia)</t>
  </si>
  <si>
    <t>tri_num</t>
  </si>
  <si>
    <t>admemeatetrinum</t>
  </si>
  <si>
    <t>des_fis</t>
  </si>
  <si>
    <t>AdmEmeAltMedHor</t>
  </si>
  <si>
    <t>Hora del Resultado de la Atención Que Indica Egreso (Alta Médica/Transferencia/Referencia)</t>
  </si>
  <si>
    <t>tri_ori</t>
  </si>
  <si>
    <t>admemeatetrioricenasicod</t>
  </si>
  <si>
    <t>est_sop</t>
  </si>
  <si>
    <t>AdmEmeEstRegCod</t>
  </si>
  <si>
    <t>Código Estado del registro</t>
  </si>
  <si>
    <t>admemeestregcod</t>
  </si>
  <si>
    <t>des_sop</t>
  </si>
  <si>
    <t>AdmEmeUsuCreCod</t>
  </si>
  <si>
    <t>Código Usuario Registra</t>
  </si>
  <si>
    <t>admemeusucrecod</t>
  </si>
  <si>
    <t>character(10)</t>
  </si>
  <si>
    <t>fec_cre</t>
  </si>
  <si>
    <t>admemecrefec</t>
  </si>
  <si>
    <t>est_reg</t>
  </si>
  <si>
    <t>AdmEmeCreFec</t>
  </si>
  <si>
    <t>Fecha y Hora Registra</t>
  </si>
  <si>
    <t>egr_dx</t>
  </si>
  <si>
    <t>admemeegrdiagcod</t>
  </si>
  <si>
    <t>des_reg</t>
  </si>
  <si>
    <t>AdmEmeUsuModCod</t>
  </si>
  <si>
    <t>Código Usuario Modifica</t>
  </si>
  <si>
    <t>admemeusumodcod</t>
  </si>
  <si>
    <t>egr_flg</t>
  </si>
  <si>
    <t>usu_cre</t>
  </si>
  <si>
    <t>AdmEmeModFec</t>
  </si>
  <si>
    <t>Fecha y Hora Modifica</t>
  </si>
  <si>
    <t>admememodfec</t>
  </si>
  <si>
    <t>egr_tdx</t>
  </si>
  <si>
    <t>admemeegrtipodiagcod</t>
  </si>
  <si>
    <t>AdmEmeTopEmeCod</t>
  </si>
  <si>
    <t>Código del Tópico Actual</t>
  </si>
  <si>
    <t>admemetopemecod</t>
  </si>
  <si>
    <t>cod_eme</t>
  </si>
  <si>
    <t>usu_mod</t>
  </si>
  <si>
    <t>AdmEmePagNum</t>
  </si>
  <si>
    <t>Número de Pagaré</t>
  </si>
  <si>
    <t>admemepagnum</t>
  </si>
  <si>
    <t>fec_mod</t>
  </si>
  <si>
    <t>AdmEmeAltAdmFec</t>
  </si>
  <si>
    <t>Fecha de Alta Administrativa o Fuga</t>
  </si>
  <si>
    <t>cod_cqx</t>
  </si>
  <si>
    <t>AdmEmeAltAdmHor</t>
  </si>
  <si>
    <t>Hora de Alta Administrativa o Fuga</t>
  </si>
  <si>
    <t>mot_egr</t>
  </si>
  <si>
    <t>admememotegrcod</t>
  </si>
  <si>
    <t>des_cqx</t>
  </si>
  <si>
    <t>AdmEmeAltAdmObs</t>
  </si>
  <si>
    <t>Observaciones en Alta Administrativa</t>
  </si>
  <si>
    <t>text</t>
  </si>
  <si>
    <t>adm_obs</t>
  </si>
  <si>
    <t>cod_sal</t>
  </si>
  <si>
    <t>AdmEmeAteTriOriCenAsiCod</t>
  </si>
  <si>
    <t>Código Origen Centro Asistencial Atención Triaje</t>
  </si>
  <si>
    <t>des_sal</t>
  </si>
  <si>
    <t>AdmEmeAteTriCenAsiCod</t>
  </si>
  <si>
    <t>Código Centro Asistencial Atención Triaje</t>
  </si>
  <si>
    <t>pac_sec</t>
  </si>
  <si>
    <t>admemepacsecnum</t>
  </si>
  <si>
    <t>est_ocu</t>
  </si>
  <si>
    <t>AdmEmeAteTriAreHosCod</t>
  </si>
  <si>
    <t>Código Area Hospitalaria Atención Triaje</t>
  </si>
  <si>
    <t>num_pag</t>
  </si>
  <si>
    <t>AdmEmeAteTriEmeCod</t>
  </si>
  <si>
    <t>Código de la Emergencia Atención Triaje</t>
  </si>
  <si>
    <t>res_int</t>
  </si>
  <si>
    <t>admemeresatenintecod</t>
  </si>
  <si>
    <t>des_are</t>
  </si>
  <si>
    <t>AdmEmeAteTriAno</t>
  </si>
  <si>
    <t>Año Atención Triaje</t>
  </si>
  <si>
    <t>character(4)</t>
  </si>
  <si>
    <t>res_flg</t>
  </si>
  <si>
    <t>admemeresegrflg</t>
  </si>
  <si>
    <t>cod_ser</t>
  </si>
  <si>
    <t>AdmEmeAteTriNum</t>
  </si>
  <si>
    <t>Número Atención Triaje</t>
  </si>
  <si>
    <t>covid</t>
  </si>
  <si>
    <t>admemesoscovid</t>
  </si>
  <si>
    <t>des_ser</t>
  </si>
  <si>
    <t>AdmEmeMotEgrCod</t>
  </si>
  <si>
    <t>Código Motivo del Egreso ** VER ELIMINAR **</t>
  </si>
  <si>
    <t>top_eme</t>
  </si>
  <si>
    <t>ord_ope</t>
  </si>
  <si>
    <t>AdmEmeUltPriAtECod</t>
  </si>
  <si>
    <t>Código Ultima Prioridad Atención en Emergencia</t>
  </si>
  <si>
    <t>admemeultpriatecod</t>
  </si>
  <si>
    <t>ult_pri</t>
  </si>
  <si>
    <t>eme_sol</t>
  </si>
  <si>
    <t>AdmEmeResAtenInteCod</t>
  </si>
  <si>
    <t>Código Ultimo Resultado de la Atención en Emergencia</t>
  </si>
  <si>
    <t>des_eme_sol</t>
  </si>
  <si>
    <t>AdmEmeResEgrFlg</t>
  </si>
  <si>
    <t>¿Con Resultado de la Atención que Indica Egreso? (Alta Médica/Transferencia/Referencia)</t>
  </si>
  <si>
    <t>are_sol</t>
  </si>
  <si>
    <t>AdmEmeEgrDiagCod</t>
  </si>
  <si>
    <t>Código Diagnóstico de Egreso (Dx Principal)</t>
  </si>
  <si>
    <t>character(7)</t>
  </si>
  <si>
    <t>est_gep</t>
  </si>
  <si>
    <t>des_are_sol</t>
  </si>
  <si>
    <t>AdmEmeEgrTipoDiagCod</t>
  </si>
  <si>
    <t>Código Tipo de Diagnóstico de Egreso (Dx Principal)</t>
  </si>
  <si>
    <t>tip_acc</t>
  </si>
  <si>
    <t>ser_sol</t>
  </si>
  <si>
    <t>AdmEmePacSecNum</t>
  </si>
  <si>
    <t>Número de Secuencia del Paciente</t>
  </si>
  <si>
    <t>DIM CAS</t>
  </si>
  <si>
    <t>Código de Red Asistencial</t>
  </si>
  <si>
    <t>des_ser_sol</t>
  </si>
  <si>
    <t>AdmEmeSosCovid</t>
  </si>
  <si>
    <t>Sospechoso COVID</t>
  </si>
  <si>
    <t>numeric(1,0)</t>
  </si>
  <si>
    <t>tip_ope</t>
  </si>
  <si>
    <t>AdmEmeTopEmeDes</t>
  </si>
  <si>
    <t>Descripción del Tópico Actual</t>
  </si>
  <si>
    <t>des_aco</t>
  </si>
  <si>
    <t>DIM EMEACO</t>
  </si>
  <si>
    <t>AdmEmePriAtEDesCor</t>
  </si>
  <si>
    <t>Descripción Corta Ultima Prioridad Atención Emergencia</t>
  </si>
  <si>
    <t>des_eme</t>
  </si>
  <si>
    <t>DIM EMECOD</t>
  </si>
  <si>
    <t>AdmEmeEmeDes</t>
  </si>
  <si>
    <t>Descripción de la Emergencia</t>
  </si>
  <si>
    <t>DIM RED</t>
  </si>
  <si>
    <t>AdmEmeResAtenInteDes</t>
  </si>
  <si>
    <t>Descripción Ultimo Resultado de la Atención en Emergencia</t>
  </si>
  <si>
    <t>des_acc</t>
  </si>
  <si>
    <t>DIM_EMEACC</t>
  </si>
  <si>
    <t>AdmEmeEgrDiagDes</t>
  </si>
  <si>
    <t>Descripción Diagnóstico de Egreso (Dx Principal)</t>
  </si>
  <si>
    <t>des_tri</t>
  </si>
  <si>
    <t>DIM EMEDESTRI</t>
  </si>
  <si>
    <t>AdmEmeEgrTipoDiagDesCor</t>
  </si>
  <si>
    <t>Descripción Corta Tipo de Diagnóstico de Egreso (Dx Principal)</t>
  </si>
  <si>
    <t>observa</t>
  </si>
  <si>
    <t>atetriobsdes</t>
  </si>
  <si>
    <t>tel_ref</t>
  </si>
  <si>
    <t>atetritelrefnum</t>
  </si>
  <si>
    <t>atetripacsecnum</t>
  </si>
  <si>
    <t>adm_eme</t>
  </si>
  <si>
    <t>atetriadmemeflg</t>
  </si>
  <si>
    <t>des_adm</t>
  </si>
  <si>
    <t>DIM EMEADM</t>
  </si>
  <si>
    <t>peso</t>
  </si>
  <si>
    <t>atetripeso</t>
  </si>
  <si>
    <t>fec_nac</t>
  </si>
  <si>
    <t>atetrinacfec</t>
  </si>
  <si>
    <t>sexo</t>
  </si>
  <si>
    <t>sexocod</t>
  </si>
  <si>
    <t>ori_des</t>
  </si>
  <si>
    <t>atetrioricenasidescod</t>
  </si>
  <si>
    <t>cas_des</t>
  </si>
  <si>
    <t>atetricenasidescod</t>
  </si>
  <si>
    <t>are_des</t>
  </si>
  <si>
    <t>atetriarehosdescod</t>
  </si>
  <si>
    <t>eme_des</t>
  </si>
  <si>
    <t>atetriemedescod</t>
  </si>
  <si>
    <t>atetrisoscovid</t>
  </si>
  <si>
    <t>gluco</t>
  </si>
  <si>
    <t>atetrigluco</t>
  </si>
  <si>
    <t>pri_det</t>
  </si>
  <si>
    <t>atetripridetcod</t>
  </si>
  <si>
    <t>mtadd10</t>
  </si>
  <si>
    <t xml:space="preserve">Descripción: Se almacenará información acerca de Admisión Emergencias - Detalle </t>
  </si>
  <si>
    <t>est_per</t>
  </si>
  <si>
    <t>estpeecod</t>
  </si>
  <si>
    <t>SÍ</t>
  </si>
  <si>
    <t>cod_ori</t>
  </si>
  <si>
    <t>AdmEmDSecNum</t>
  </si>
  <si>
    <t>Número de Secuencia Movimiento</t>
  </si>
  <si>
    <t>admemdsecnum</t>
  </si>
  <si>
    <t>numeric(3,0)</t>
  </si>
  <si>
    <t>admemdusumodcod</t>
  </si>
  <si>
    <t>AdmEmDAreHosCod</t>
  </si>
  <si>
    <t>admemdarehoscod</t>
  </si>
  <si>
    <t>admemdusucrecod</t>
  </si>
  <si>
    <t>AdmEmDEmeCod</t>
  </si>
  <si>
    <t>admemdemecod</t>
  </si>
  <si>
    <t>top_tra</t>
  </si>
  <si>
    <t>admemdtopemedescod</t>
  </si>
  <si>
    <t>AdmEmDTopEmeCod</t>
  </si>
  <si>
    <t>Código Tópico en Emergencia</t>
  </si>
  <si>
    <t>admemdtopemecod</t>
  </si>
  <si>
    <t>cod_top</t>
  </si>
  <si>
    <t>AdmEmDIngFec</t>
  </si>
  <si>
    <t>Fecha de Ingreso</t>
  </si>
  <si>
    <t>admemdingfec</t>
  </si>
  <si>
    <t>sec_num</t>
  </si>
  <si>
    <t>AdmEmDIngHor</t>
  </si>
  <si>
    <t>Hora de Ingreso</t>
  </si>
  <si>
    <t>admemdinghor</t>
  </si>
  <si>
    <t>mot_des</t>
  </si>
  <si>
    <t>admemdmotdes</t>
  </si>
  <si>
    <t>EstPeECod</t>
  </si>
  <si>
    <t>Código Estado Permanencia en Emergencia</t>
  </si>
  <si>
    <t>admemdmodfec</t>
  </si>
  <si>
    <t>AdmEmDAreHosDesCod</t>
  </si>
  <si>
    <t>Código Area Hospitalaria (Transferencias)</t>
  </si>
  <si>
    <t>admemdarehosdescod</t>
  </si>
  <si>
    <t>hor_ing</t>
  </si>
  <si>
    <t>AdmEmDEmeDesCod</t>
  </si>
  <si>
    <t>Código de la Emergencia (Transferencias)</t>
  </si>
  <si>
    <t>admemdemedescod</t>
  </si>
  <si>
    <t>fec_ing</t>
  </si>
  <si>
    <t>AdmEmDTopEmeDesCod</t>
  </si>
  <si>
    <t>Código Tópico Destino en Emergencia (Transferencias)</t>
  </si>
  <si>
    <t>glosa</t>
  </si>
  <si>
    <t>admemdglosa</t>
  </si>
  <si>
    <t>AdmEmDEgrFec</t>
  </si>
  <si>
    <t>Fecha de Egreso</t>
  </si>
  <si>
    <t>admemdegrfec</t>
  </si>
  <si>
    <t>eme_tra</t>
  </si>
  <si>
    <t>AdmEmDEgrHor</t>
  </si>
  <si>
    <t>Hora de Egreso</t>
  </si>
  <si>
    <t>admemdegrhor</t>
  </si>
  <si>
    <t>AdmEmDUsuCreCod</t>
  </si>
  <si>
    <t>hor_egr</t>
  </si>
  <si>
    <t>AdmEmDCreFec</t>
  </si>
  <si>
    <t>admemdcrefec</t>
  </si>
  <si>
    <t>fec_egr</t>
  </si>
  <si>
    <t>AdmEmDUsuModCod</t>
  </si>
  <si>
    <t>AdmEmDModFec</t>
  </si>
  <si>
    <t>cod_cam</t>
  </si>
  <si>
    <t>admemdcamcod</t>
  </si>
  <si>
    <t>AdmEmDAteFlg</t>
  </si>
  <si>
    <t>¿Con Atención Médica?</t>
  </si>
  <si>
    <t>admemdateflg</t>
  </si>
  <si>
    <t>ate_flg</t>
  </si>
  <si>
    <t>AdmEmDCamCod</t>
  </si>
  <si>
    <t>Código de Cama(Solo Sala Observación)</t>
  </si>
  <si>
    <t>character(5)</t>
  </si>
  <si>
    <t>are_tra</t>
  </si>
  <si>
    <t>AdmEmDGlosa</t>
  </si>
  <si>
    <t>Glosa</t>
  </si>
  <si>
    <t>AdmEmDMotDes</t>
  </si>
  <si>
    <t>Motivo de desercion emergencia</t>
  </si>
  <si>
    <t>AdmEmDEmeDes</t>
  </si>
  <si>
    <t>Descripción Código de Red Asistencial</t>
  </si>
  <si>
    <t>AdmEmDTopEmeDes</t>
  </si>
  <si>
    <t>Descripción Tópico en Emergencia</t>
  </si>
  <si>
    <t>Descripción Código Centro Asistencial</t>
  </si>
  <si>
    <t>AdmEmDEmeDesDes</t>
  </si>
  <si>
    <t>Descripción de la Emergencia (Transferencias)</t>
  </si>
  <si>
    <t>AdmEmDTopEmeDesDes</t>
  </si>
  <si>
    <t>Descripción Tópico en Emergencia (Transferencias)</t>
  </si>
  <si>
    <t>des_top</t>
  </si>
  <si>
    <t>DIM EMETOP</t>
  </si>
  <si>
    <t>des_est</t>
  </si>
  <si>
    <t>dim_emeestper</t>
  </si>
  <si>
    <t>des_tra</t>
  </si>
  <si>
    <t>DIM AREAS</t>
  </si>
  <si>
    <t>des_etr</t>
  </si>
  <si>
    <t>des_ttr</t>
  </si>
  <si>
    <t>NO ESTÁ LA TABLA EN EL PDF</t>
  </si>
  <si>
    <t>mtatr10</t>
  </si>
  <si>
    <t>Descripción: Se almacenará información acerca de Atenciones en triaje</t>
  </si>
  <si>
    <t>atetrioricenasicod</t>
  </si>
  <si>
    <t>AteTriOriCenAsiCod</t>
  </si>
  <si>
    <t>DIM CAS-RED</t>
  </si>
  <si>
    <t>AteTriCenAsiCod</t>
  </si>
  <si>
    <t>atetricenasicod</t>
  </si>
  <si>
    <t>AteTriAreHosCod</t>
  </si>
  <si>
    <t>Códigio Area Hospitalaria</t>
  </si>
  <si>
    <t>atetriarehoscod</t>
  </si>
  <si>
    <t>AteTriEmeCod</t>
  </si>
  <si>
    <t>atetriemecod</t>
  </si>
  <si>
    <t>AteTriAno</t>
  </si>
  <si>
    <t>Año de la Atención</t>
  </si>
  <si>
    <t>atetriano</t>
  </si>
  <si>
    <t>AteTriNum</t>
  </si>
  <si>
    <t>Número de la Atención</t>
  </si>
  <si>
    <t>atetrinum</t>
  </si>
  <si>
    <t>numeric(10,0),</t>
  </si>
  <si>
    <t>AteTriFec</t>
  </si>
  <si>
    <t>Fecha de Atención</t>
  </si>
  <si>
    <t>atetrifec</t>
  </si>
  <si>
    <t>date,</t>
  </si>
  <si>
    <t>AteTriHor</t>
  </si>
  <si>
    <t>Hora de Atención</t>
  </si>
  <si>
    <t>atetrihor</t>
  </si>
  <si>
    <t>ano_tri</t>
  </si>
  <si>
    <t>AteTriTipDocIdenPacCod</t>
  </si>
  <si>
    <t>Código Tipo de Documento Identidad Paciente</t>
  </si>
  <si>
    <t>atetritipdocidenpaccod</t>
  </si>
  <si>
    <t>num_tri</t>
  </si>
  <si>
    <t>AteTriDocIdenPacNum</t>
  </si>
  <si>
    <t>Número Documento Identidad Paciente</t>
  </si>
  <si>
    <t>atetridocidenpacnum</t>
  </si>
  <si>
    <t>character(15)</t>
  </si>
  <si>
    <t>fec_tri</t>
  </si>
  <si>
    <t>AteTriPatApe</t>
  </si>
  <si>
    <t>Apellido Paterno Paciente</t>
  </si>
  <si>
    <t>atetripatape</t>
  </si>
  <si>
    <t>character(30)</t>
  </si>
  <si>
    <t>hor_tri</t>
  </si>
  <si>
    <t>AteTriMatApe</t>
  </si>
  <si>
    <t>Apellido Materno Paciente</t>
  </si>
  <si>
    <t>atetrimatape</t>
  </si>
  <si>
    <t>tdo_pac</t>
  </si>
  <si>
    <t>AteTriPriNom</t>
  </si>
  <si>
    <t>Primer Nombre Paciente</t>
  </si>
  <si>
    <t>atetriprinom</t>
  </si>
  <si>
    <t>character(20)</t>
  </si>
  <si>
    <t>AteTriSegNom</t>
  </si>
  <si>
    <t>Segundo Nombre Paciente</t>
  </si>
  <si>
    <t>atetrisegnom</t>
  </si>
  <si>
    <t>ape_pat</t>
  </si>
  <si>
    <t>AteTriPreArtSist</t>
  </si>
  <si>
    <t>Presión Arterial Sistólica (mm Hg)</t>
  </si>
  <si>
    <t>atetripreartsist</t>
  </si>
  <si>
    <t>numeric(3,0),</t>
  </si>
  <si>
    <t>ape_mat</t>
  </si>
  <si>
    <t>AteTriPreArtDias</t>
  </si>
  <si>
    <t>Presión Arterial Diastólica (mm Hg)</t>
  </si>
  <si>
    <t>atetripreartdias</t>
  </si>
  <si>
    <t>pri_nom</t>
  </si>
  <si>
    <t>AteTriPulso</t>
  </si>
  <si>
    <t>Frecuencia Cardiaca (Pulso - Latidos x Min)</t>
  </si>
  <si>
    <t>atetripulso</t>
  </si>
  <si>
    <t>seg_nom</t>
  </si>
  <si>
    <t>AteTriTemp</t>
  </si>
  <si>
    <t>Temperatura Corporal (°C)</t>
  </si>
  <si>
    <t>atetritemp</t>
  </si>
  <si>
    <t>numeric(3,1),</t>
  </si>
  <si>
    <t>pre_sis</t>
  </si>
  <si>
    <t>AteTriResp</t>
  </si>
  <si>
    <t>Frecuencia Respiratoria (Respiraciones x Min)</t>
  </si>
  <si>
    <t>atetriresp</t>
  </si>
  <si>
    <t>pre_dia</t>
  </si>
  <si>
    <t>AteTriSatO2</t>
  </si>
  <si>
    <t>Saturación de Oxígeno (%)</t>
  </si>
  <si>
    <t>atetrisato2</t>
  </si>
  <si>
    <t>pulso</t>
  </si>
  <si>
    <t>AteTriSinPriDes</t>
  </si>
  <si>
    <t>Sintomas y/o Signos Principales</t>
  </si>
  <si>
    <t>atetriestconnum</t>
  </si>
  <si>
    <t>numeric(2,0),</t>
  </si>
  <si>
    <t>tempe</t>
  </si>
  <si>
    <t>AteTriEstConNum</t>
  </si>
  <si>
    <t>Valoración Estado de Conciencia (Escala de Glasgow)</t>
  </si>
  <si>
    <t>atetrisinprides</t>
  </si>
  <si>
    <t>character(50)</t>
  </si>
  <si>
    <t>resp</t>
  </si>
  <si>
    <t>AteTriPriAtECod</t>
  </si>
  <si>
    <t>Prioridad Atención en Emergencia</t>
  </si>
  <si>
    <t>atetripriatecod</t>
  </si>
  <si>
    <t>satura</t>
  </si>
  <si>
    <t>AteTriTopEmeDesCod</t>
  </si>
  <si>
    <t>Código Tópico Destino</t>
  </si>
  <si>
    <t>atetritopemedescod</t>
  </si>
  <si>
    <t>est_con</t>
  </si>
  <si>
    <t>AteTriPerOriCenAsiCod</t>
  </si>
  <si>
    <t>Código Origen Centro Asistencal Profesional Atención</t>
  </si>
  <si>
    <t>atetriperoricenasicod</t>
  </si>
  <si>
    <t>sig_pri</t>
  </si>
  <si>
    <t>AteTriPerCenAsiCod</t>
  </si>
  <si>
    <t>Código Centro Asistencial Profesional Atención</t>
  </si>
  <si>
    <t>atetripercenasicod</t>
  </si>
  <si>
    <t>pri_eme</t>
  </si>
  <si>
    <t>AteTriPerAreHosCod</t>
  </si>
  <si>
    <t>Código Area Hospitalaria Profesional Atención</t>
  </si>
  <si>
    <t>atetriperarehoscod</t>
  </si>
  <si>
    <t>des_pri</t>
  </si>
  <si>
    <t>DIM EMEPRI</t>
  </si>
  <si>
    <t>AteTriPerServHosCod</t>
  </si>
  <si>
    <t>Código Servicio Hospitalario Profesional Atención</t>
  </si>
  <si>
    <t>atetriperservhoscod</t>
  </si>
  <si>
    <t>top_des</t>
  </si>
  <si>
    <t>AteTriPerActCod</t>
  </si>
  <si>
    <t>Código Actividad Profesional Atención</t>
  </si>
  <si>
    <t>atetriperactcod</t>
  </si>
  <si>
    <t>AteTriPerTipDocIdenCod</t>
  </si>
  <si>
    <t>Código Tipo Documento Identidad Profesional Atención</t>
  </si>
  <si>
    <t>atetripertipdocidencod</t>
  </si>
  <si>
    <t>per_ori</t>
  </si>
  <si>
    <t>AteTriPerDocIdenNum</t>
  </si>
  <si>
    <t>Número Documento Identidad Profesional Atención</t>
  </si>
  <si>
    <t>atetriperdocidennum</t>
  </si>
  <si>
    <t>per_cas</t>
  </si>
  <si>
    <t>AteTriEstRegCod</t>
  </si>
  <si>
    <t>Código Estado del Registro</t>
  </si>
  <si>
    <t>atetriestregcod</t>
  </si>
  <si>
    <t>per_are</t>
  </si>
  <si>
    <t>AteTriUsuCreCod</t>
  </si>
  <si>
    <t>atetriusucrecod</t>
  </si>
  <si>
    <t>per_ser</t>
  </si>
  <si>
    <t>AteTriCreFec</t>
  </si>
  <si>
    <t>atetricrefec</t>
  </si>
  <si>
    <t>DIM SERVICIOS</t>
  </si>
  <si>
    <t>AteTriUsuModCod</t>
  </si>
  <si>
    <t>atetriusumodcod</t>
  </si>
  <si>
    <t>per_act</t>
  </si>
  <si>
    <t>AteTriModFec</t>
  </si>
  <si>
    <t>atetrimodfec</t>
  </si>
  <si>
    <t>per_tdo</t>
  </si>
  <si>
    <t>DesAteTriCod</t>
  </si>
  <si>
    <t>Código Destino Atención Triaje</t>
  </si>
  <si>
    <t>desatetricod</t>
  </si>
  <si>
    <t>per_doc</t>
  </si>
  <si>
    <t>AteTriObsDes</t>
  </si>
  <si>
    <t>AteTriTelRefNum</t>
  </si>
  <si>
    <t>Número de Teléfono de Referencia</t>
  </si>
  <si>
    <t>AteTriPeso</t>
  </si>
  <si>
    <t>Peso (Kg)</t>
  </si>
  <si>
    <t>AteTriAdmEmeFlg</t>
  </si>
  <si>
    <t>¿Admitido en Emergencia? (Solo si Destino es Emergencia) ** ELIMINAR **</t>
  </si>
  <si>
    <t>AteTriPacSecNum</t>
  </si>
  <si>
    <t>Número Secuencia Paciente (Cero si no existe en BD Aseguramiento)</t>
  </si>
  <si>
    <t>numeric(6,3),</t>
  </si>
  <si>
    <t>AteTriNacFec</t>
  </si>
  <si>
    <t>Fecha de Nacimiento Paciente</t>
  </si>
  <si>
    <t>des_ate</t>
  </si>
  <si>
    <t>SexoCod</t>
  </si>
  <si>
    <t>Código Sexo</t>
  </si>
  <si>
    <t>AteTriOriCenAsiDesCod</t>
  </si>
  <si>
    <t>Código Origen Centro Asistencial Destino</t>
  </si>
  <si>
    <t>AteTriCenAsiDesCod</t>
  </si>
  <si>
    <t>Código Centro Asistencial Destino</t>
  </si>
  <si>
    <t>AteTriAreHosDesCod</t>
  </si>
  <si>
    <t>Código Area Hospitalaria Destino</t>
  </si>
  <si>
    <t>AteTriEmeDesCod</t>
  </si>
  <si>
    <t>Código de la Emergencia Destino</t>
  </si>
  <si>
    <t>AteTriSosCovid</t>
  </si>
  <si>
    <t>Sospecha de COVID-19?</t>
  </si>
  <si>
    <t>numeric(1,0),</t>
  </si>
  <si>
    <t>AteTriTipDocIdenPacDesCor</t>
  </si>
  <si>
    <t>Descripción Corta Tipo de Documento Identidad Paciente</t>
  </si>
  <si>
    <t>numeric(6,2),</t>
  </si>
  <si>
    <t>AteTriTopEmeDesDes</t>
  </si>
  <si>
    <t>Descripción Tópico Destino</t>
  </si>
  <si>
    <t>Sin Información</t>
  </si>
  <si>
    <t>mtaem10</t>
  </si>
  <si>
    <t>Descripción: Se almacenará información acerca de Atenciones médicas en emergencia</t>
  </si>
  <si>
    <t>eme_act</t>
  </si>
  <si>
    <t>ateemeactcod</t>
  </si>
  <si>
    <t>AteEmeOriCenAsiCod</t>
  </si>
  <si>
    <t>ateemeoricenasicod</t>
  </si>
  <si>
    <t>ateemeactmednum</t>
  </si>
  <si>
    <t>AteEmeCenAsiCod</t>
  </si>
  <si>
    <t>ateemecenasicod</t>
  </si>
  <si>
    <t>are_hos</t>
  </si>
  <si>
    <t>ateemearehoscod</t>
  </si>
  <si>
    <t>AteEmeActMedNum</t>
  </si>
  <si>
    <t>ate_cas</t>
  </si>
  <si>
    <t>AteEmeSecNum</t>
  </si>
  <si>
    <t>Número de Secuencia Atención</t>
  </si>
  <si>
    <t>ateemesecnum</t>
  </si>
  <si>
    <t>ateemecrefec</t>
  </si>
  <si>
    <t>MotEgrCod</t>
  </si>
  <si>
    <t>Código Motivo del Egreso (* ¿ELIMINAR? *) ¡NO! DEBE IR CABECERA-REG.ALTA ADM.</t>
  </si>
  <si>
    <t>NULO</t>
  </si>
  <si>
    <t>ateemeperoricenasicod</t>
  </si>
  <si>
    <t>ate_fec</t>
  </si>
  <si>
    <t>ateemefec</t>
  </si>
  <si>
    <t>CPSCod</t>
  </si>
  <si>
    <t>Código de Procedimiento, Examen o Perfil</t>
  </si>
  <si>
    <t>ateemepercenasicod</t>
  </si>
  <si>
    <t>ate_hor</t>
  </si>
  <si>
    <t>ateemehor</t>
  </si>
  <si>
    <t>AteEmePerOriCenAsiCod</t>
  </si>
  <si>
    <t>NO NULO</t>
  </si>
  <si>
    <t>ateememodfec</t>
  </si>
  <si>
    <t>AteEmePerCenAsiCod</t>
  </si>
  <si>
    <t>ateemeservhoscod</t>
  </si>
  <si>
    <t>mov_sec</t>
  </si>
  <si>
    <t>ateememovsecnum</t>
  </si>
  <si>
    <t>AteEmeAreHosCod</t>
  </si>
  <si>
    <t>ate_ori</t>
  </si>
  <si>
    <t>AteEmeServHosCod</t>
  </si>
  <si>
    <t>Código Servicio Hospitalario</t>
  </si>
  <si>
    <t>ateemetipdocidenpercod</t>
  </si>
  <si>
    <t>ateemeperasisdocidennum</t>
  </si>
  <si>
    <t>AteEmeActCod</t>
  </si>
  <si>
    <t>Código de Actividad</t>
  </si>
  <si>
    <t>AteEmeTipDocIdenPerCod</t>
  </si>
  <si>
    <t>Código Tipo Documento Identidad Personal</t>
  </si>
  <si>
    <t>ateemeperproflg</t>
  </si>
  <si>
    <t>AteEmePerAsisDocIdenNum</t>
  </si>
  <si>
    <t>Número Documento Identidad Personal</t>
  </si>
  <si>
    <t>ateemepriatecod</t>
  </si>
  <si>
    <t>pro_flg</t>
  </si>
  <si>
    <t>AteEmePerProFlg</t>
  </si>
  <si>
    <t>¿Profesional que Atiende está Programado?</t>
  </si>
  <si>
    <t>motegrcod</t>
  </si>
  <si>
    <t>eme_pri</t>
  </si>
  <si>
    <t>AteEmeAnam</t>
  </si>
  <si>
    <t>Anamnesis</t>
  </si>
  <si>
    <t>cpscod</t>
  </si>
  <si>
    <t>eme_con</t>
  </si>
  <si>
    <t>ateemeretcondi</t>
  </si>
  <si>
    <t>AteEmeExamClin</t>
  </si>
  <si>
    <t>Examen Clínico</t>
  </si>
  <si>
    <t>ateemeusucrecod</t>
  </si>
  <si>
    <t>eme_flg</t>
  </si>
  <si>
    <t>ateemeretflg</t>
  </si>
  <si>
    <t>AteEmePlanTra</t>
  </si>
  <si>
    <t>Plan de Trabajo</t>
  </si>
  <si>
    <t>eme_rpa</t>
  </si>
  <si>
    <t>ateemeretrelpac</t>
  </si>
  <si>
    <t>AteEmePriAtECod</t>
  </si>
  <si>
    <t>Código Prioridad Atención en Emergencia</t>
  </si>
  <si>
    <t>ateemeusumodcod</t>
  </si>
  <si>
    <t>eme_nom</t>
  </si>
  <si>
    <t>ateemeretrespnom</t>
  </si>
  <si>
    <t>AteEmeUsuCreCod</t>
  </si>
  <si>
    <t>eme_ndo</t>
  </si>
  <si>
    <t>ateemeretrespnumdoc</t>
  </si>
  <si>
    <t>AteEmeCreFec</t>
  </si>
  <si>
    <t>eme_tdo</t>
  </si>
  <si>
    <t>ateemeretresptipdoc</t>
  </si>
  <si>
    <t>AteEmeUsuModCod</t>
  </si>
  <si>
    <t>eme_rie</t>
  </si>
  <si>
    <t>ateemeretriesgo</t>
  </si>
  <si>
    <t>AteEmeModFec</t>
  </si>
  <si>
    <t>AteEmeFec</t>
  </si>
  <si>
    <t>Fecha de la Atención</t>
  </si>
  <si>
    <t>tipoateemecod</t>
  </si>
  <si>
    <t>eme_ser</t>
  </si>
  <si>
    <t>AteEmeHor</t>
  </si>
  <si>
    <t>Hora de la Atención</t>
  </si>
  <si>
    <t>ateemesolintnum</t>
  </si>
  <si>
    <t>sig_sec</t>
  </si>
  <si>
    <t>ateemesigvitsecnum</t>
  </si>
  <si>
    <t>AteEmeMovSecNum</t>
  </si>
  <si>
    <t>Número de Secuencia Movimiento del Paciente</t>
  </si>
  <si>
    <t>numeric(4,0),</t>
  </si>
  <si>
    <t>sol_int</t>
  </si>
  <si>
    <t>AteEmeEvol</t>
  </si>
  <si>
    <t>Evolución</t>
  </si>
  <si>
    <t>resatenintecod</t>
  </si>
  <si>
    <t>ateemesoscovid</t>
  </si>
  <si>
    <t>AteEmeIndi</t>
  </si>
  <si>
    <t>Indicaciones</t>
  </si>
  <si>
    <t>tip_doc</t>
  </si>
  <si>
    <t>TipoAteEmeCod</t>
  </si>
  <si>
    <t>Código Tipo de Atención en Emergencia</t>
  </si>
  <si>
    <t>character(500)</t>
  </si>
  <si>
    <t>AteEmeSolIntNum</t>
  </si>
  <si>
    <t>Número Solicitud de Interconsulta</t>
  </si>
  <si>
    <t>AteEmeSigVitSecNum</t>
  </si>
  <si>
    <t>Número de Secuencia Registro de Signos Vitales</t>
  </si>
  <si>
    <t>cps_cod</t>
  </si>
  <si>
    <t>ResAtenInteCod</t>
  </si>
  <si>
    <t>Código Resultado de la Atención en Emergencia/Hospitalización</t>
  </si>
  <si>
    <t>AteEmeSosCovid</t>
  </si>
  <si>
    <t>¿Sospechoso Covid19?</t>
  </si>
  <si>
    <t>character(60)</t>
  </si>
  <si>
    <t>res_ate</t>
  </si>
  <si>
    <t>AteEmeRetCondi</t>
  </si>
  <si>
    <t>Condicion al retiro voluntario</t>
  </si>
  <si>
    <t>tip_ate</t>
  </si>
  <si>
    <t>AteEmeRetRiesgo</t>
  </si>
  <si>
    <t>Riesgos al retiro voluntario</t>
  </si>
  <si>
    <t>AteEmeRetRespTipDoc</t>
  </si>
  <si>
    <t>Tip. doc. responsable al retiro voluntario</t>
  </si>
  <si>
    <t>AteEmeRetRespNumDoc</t>
  </si>
  <si>
    <t>Num. doc. responsable al retiro voluntario</t>
  </si>
  <si>
    <t>AteEmeRetRespNom</t>
  </si>
  <si>
    <t>Nombre responsable al retiro voluntario</t>
  </si>
  <si>
    <t>des_per</t>
  </si>
  <si>
    <t>dim_cas</t>
  </si>
  <si>
    <t>AteEmeRetRelPac</t>
  </si>
  <si>
    <t>Relacion del responsable con el paciente al retiro voluntario</t>
  </si>
  <si>
    <t>AteEmeRetFlg</t>
  </si>
  <si>
    <t>Indicador de si ya se subio documento escaneado</t>
  </si>
  <si>
    <t>des_act</t>
  </si>
  <si>
    <t>DIM ACTIVI</t>
  </si>
  <si>
    <t>AteEmePerAsisProApePat</t>
  </si>
  <si>
    <t>Apellido Paterno Personal</t>
  </si>
  <si>
    <t>INFERIDO</t>
  </si>
  <si>
    <t>ate_pro</t>
  </si>
  <si>
    <t>dim_emeatepro</t>
  </si>
  <si>
    <t>AteEmePerAsisProApeMat</t>
  </si>
  <si>
    <t>Apellido Materno Personal</t>
  </si>
  <si>
    <t>DIM_EMEPRI</t>
  </si>
  <si>
    <t>AteEmePerAsisProPriNom</t>
  </si>
  <si>
    <t>Primer Nombre Personal</t>
  </si>
  <si>
    <t>des_egr</t>
  </si>
  <si>
    <t>DIM EMEEGR</t>
  </si>
  <si>
    <t>AteEmePerAsisProSegNom</t>
  </si>
  <si>
    <t>Segundo Nombre Personal</t>
  </si>
  <si>
    <t>des_cps</t>
  </si>
  <si>
    <t>DIM CPS</t>
  </si>
  <si>
    <t>AteEmeAdmEmDEmeCod</t>
  </si>
  <si>
    <t>Código Emergencia</t>
  </si>
  <si>
    <t>FORMULA</t>
  </si>
  <si>
    <t>des_tat</t>
  </si>
  <si>
    <t>dim_emetipate</t>
  </si>
  <si>
    <t>AteEmeAdmEmDTopEmeCod</t>
  </si>
  <si>
    <t>des_res</t>
  </si>
  <si>
    <t>dim_emeresate</t>
  </si>
  <si>
    <t>AteEmePriAtEDes</t>
  </si>
  <si>
    <t>Descripción Prioridad Atención en Emergencia</t>
  </si>
  <si>
    <t>eme_cod</t>
  </si>
  <si>
    <t>EMPAREJAMIENTO essi2</t>
  </si>
  <si>
    <t>eme_top</t>
  </si>
  <si>
    <t>mtdae10</t>
  </si>
  <si>
    <t>Descripción: Se almacenará información acerca de Atenciones Médicas en Emergencia - Diagnósticos</t>
  </si>
  <si>
    <t>fec_ate</t>
  </si>
  <si>
    <t>hor_ate</t>
  </si>
  <si>
    <t>CondDiagCod</t>
  </si>
  <si>
    <t>Código Condición Diagnóstico</t>
  </si>
  <si>
    <t>conddiagcod</t>
  </si>
  <si>
    <t>des_pro</t>
  </si>
  <si>
    <t>dim personal</t>
  </si>
  <si>
    <t>DiagCod</t>
  </si>
  <si>
    <t>Código Diagnóstico</t>
  </si>
  <si>
    <t>diagcod</t>
  </si>
  <si>
    <t>ate_eme</t>
  </si>
  <si>
    <t>ateemediagord</t>
  </si>
  <si>
    <t>AteEmeDiagOrd</t>
  </si>
  <si>
    <t>Número de Orden del Diagnóstico</t>
  </si>
  <si>
    <t>tip_dia</t>
  </si>
  <si>
    <t>ateemetipodiagcod</t>
  </si>
  <si>
    <t>AteEmeTipoDiagCod</t>
  </si>
  <si>
    <t>Código Tipo Diagnóstico</t>
  </si>
  <si>
    <t>AteEmeTipoDiagNom</t>
  </si>
  <si>
    <t>Nombre Tipo Diagnóstico</t>
  </si>
  <si>
    <t>cod_con</t>
  </si>
  <si>
    <t>time</t>
  </si>
  <si>
    <t>cod_cie</t>
  </si>
  <si>
    <t>dim_emecod</t>
  </si>
  <si>
    <t>dim_emetop</t>
  </si>
  <si>
    <t>EMPAREJAMIENTO essi3</t>
  </si>
  <si>
    <t>ano_ate</t>
  </si>
  <si>
    <t>dim_tiempo</t>
  </si>
  <si>
    <t>cod_pri</t>
  </si>
  <si>
    <t>dni_pro</t>
  </si>
  <si>
    <t>num doc</t>
  </si>
  <si>
    <t>des_cie</t>
  </si>
  <si>
    <t>dim_cie10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</si>
</sst>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b/>
      <sz val="8.0"/>
      <color rgb="FFFFFFFF"/>
      <name val="ARIAL"/>
    </font>
    <font>
      <color theme="1"/>
      <name val="Arial"/>
    </font>
    <font>
      <sz val="8.0"/>
      <color theme="1"/>
      <name val="Arial"/>
    </font>
    <font>
      <sz val="8.0"/>
      <color rgb="FF002855"/>
      <name val="&quot;Century Gothic&quot;"/>
    </font>
    <font>
      <b/>
      <color rgb="FFFF0000"/>
      <name val="Arial"/>
    </font>
    <font>
      <sz val="8.0"/>
      <color rgb="FF000000"/>
      <name val="&quot;Century Gothic&quot;"/>
    </font>
    <font>
      <sz val="8.0"/>
      <color rgb="FF00142B"/>
      <name val="&quot;Century Gothic&quot;"/>
    </font>
    <font>
      <sz val="8.0"/>
      <color rgb="FF001E40"/>
      <name val="&quot;Century Gothic&quot;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3465A4"/>
        <bgColor rgb="FF3465A4"/>
      </patternFill>
    </fill>
    <fill>
      <patternFill patternType="solid">
        <fgColor rgb="FF9FC5E8"/>
        <bgColor rgb="FF9FC5E8"/>
      </patternFill>
    </fill>
    <fill>
      <patternFill patternType="solid">
        <fgColor rgb="FFAAD2FF"/>
        <bgColor rgb="FFAAD2FF"/>
      </patternFill>
    </fill>
    <fill>
      <patternFill patternType="solid">
        <fgColor rgb="FFBEDFFF"/>
        <bgColor rgb="FFBED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horizontal="center"/>
    </xf>
    <xf borderId="2" fillId="2" fontId="2" numFmtId="0" xfId="0" applyBorder="1" applyFont="1"/>
    <xf borderId="3" fillId="2" fontId="2" numFmtId="0" xfId="0" applyBorder="1" applyFont="1"/>
    <xf borderId="1" fillId="2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horizontal="center"/>
    </xf>
    <xf borderId="4" fillId="4" fontId="5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/>
    </xf>
    <xf borderId="0" fillId="0" fontId="5" numFmtId="0" xfId="0" applyAlignment="1" applyFont="1">
      <alignment horizontal="left" readingOrder="0"/>
    </xf>
    <xf borderId="0" fillId="0" fontId="1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center"/>
    </xf>
    <xf borderId="1" fillId="0" fontId="5" numFmtId="0" xfId="0" applyBorder="1" applyFont="1"/>
    <xf borderId="0" fillId="0" fontId="1" numFmtId="0" xfId="0" applyAlignment="1" applyFont="1">
      <alignment readingOrder="0"/>
    </xf>
    <xf borderId="0" fillId="5" fontId="7" numFmtId="0" xfId="0" applyAlignment="1" applyFill="1" applyFont="1">
      <alignment horizontal="left" readingOrder="0"/>
    </xf>
    <xf borderId="0" fillId="0" fontId="8" numFmtId="0" xfId="0" applyFont="1"/>
    <xf borderId="0" fillId="0" fontId="6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top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top"/>
    </xf>
    <xf borderId="0" fillId="6" fontId="9" numFmtId="0" xfId="0" applyAlignment="1" applyFill="1" applyFont="1">
      <alignment horizontal="left" readingOrder="0" vertical="top"/>
    </xf>
    <xf borderId="0" fillId="6" fontId="10" numFmtId="0" xfId="0" applyAlignment="1" applyFont="1">
      <alignment horizontal="center" readingOrder="0" vertical="top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5" fontId="11" numFmtId="0" xfId="0" applyAlignment="1" applyFont="1">
      <alignment horizontal="left" readingOrder="0"/>
    </xf>
    <xf borderId="0" fillId="5" fontId="7" numFmtId="0" xfId="0" applyAlignment="1" applyFont="1">
      <alignment horizontal="center" readingOrder="0"/>
    </xf>
    <xf borderId="1" fillId="0" fontId="5" numFmtId="0" xfId="0" applyBorder="1" applyFont="1"/>
    <xf borderId="4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5" max="5" width="7.38"/>
    <col customWidth="1" min="8" max="8" width="14.5"/>
    <col customWidth="1" min="10" max="10" width="28.25"/>
    <col customWidth="1" min="11" max="11" width="20.75"/>
    <col customWidth="1" min="12" max="12" width="46.0"/>
    <col customWidth="1" min="14" max="14" width="18.63"/>
  </cols>
  <sheetData>
    <row r="1" ht="15.75" customHeight="1">
      <c r="D1" s="1"/>
    </row>
    <row r="2" ht="15.75" customHeight="1">
      <c r="D2" s="1"/>
    </row>
    <row r="3" ht="15.75" customHeight="1">
      <c r="B3" s="2" t="s">
        <v>0</v>
      </c>
      <c r="C3" s="3" t="s">
        <v>1</v>
      </c>
      <c r="D3" s="4"/>
      <c r="E3" s="5"/>
      <c r="F3" s="5"/>
      <c r="G3" s="5"/>
      <c r="H3" s="6"/>
    </row>
    <row r="4" ht="15.75" customHeight="1">
      <c r="B4" s="7" t="s">
        <v>2</v>
      </c>
      <c r="C4" s="8"/>
      <c r="D4" s="8"/>
      <c r="E4" s="8"/>
      <c r="F4" s="8"/>
      <c r="G4" s="8"/>
      <c r="H4" s="9"/>
      <c r="J4" s="10" t="s">
        <v>3</v>
      </c>
      <c r="K4" s="10" t="s">
        <v>4</v>
      </c>
      <c r="L4" s="10" t="s">
        <v>5</v>
      </c>
    </row>
    <row r="5" ht="15.75" customHeight="1"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8"/>
      <c r="H5" s="9"/>
      <c r="J5" s="13" t="s">
        <v>11</v>
      </c>
      <c r="K5" s="13" t="s">
        <v>12</v>
      </c>
      <c r="L5" s="14" t="str">
        <f t="shared" ref="L5:L42" si="1">VLOOKUP(K5,$N$5:$O$49,2,0)</f>
        <v>Código de Acompañamiento Paciente</v>
      </c>
      <c r="M5" s="15" t="s">
        <v>13</v>
      </c>
      <c r="N5" s="16" t="s">
        <v>14</v>
      </c>
      <c r="O5" s="16" t="s">
        <v>15</v>
      </c>
    </row>
    <row r="6" ht="15.75" customHeight="1">
      <c r="B6" s="17" t="s">
        <v>16</v>
      </c>
      <c r="C6" s="18" t="s">
        <v>17</v>
      </c>
      <c r="D6" s="17" t="s">
        <v>18</v>
      </c>
      <c r="E6" s="19" t="s">
        <v>19</v>
      </c>
      <c r="F6" s="20" t="str">
        <f t="shared" ref="F6:F44" si="2">VLOOKUP(C6,$N$5:$O$49,2,0)</f>
        <v>Código Origen Centro Asistencial</v>
      </c>
      <c r="G6" s="8"/>
      <c r="H6" s="9"/>
      <c r="J6" s="13" t="s">
        <v>20</v>
      </c>
      <c r="K6" s="13" t="s">
        <v>21</v>
      </c>
      <c r="L6" s="14" t="str">
        <f t="shared" si="1"/>
        <v>Número de Acto Médico</v>
      </c>
      <c r="M6" s="15" t="s">
        <v>22</v>
      </c>
      <c r="N6" s="16" t="s">
        <v>23</v>
      </c>
      <c r="O6" s="16" t="s">
        <v>24</v>
      </c>
    </row>
    <row r="7" ht="15.75" customHeight="1">
      <c r="B7" s="17" t="s">
        <v>16</v>
      </c>
      <c r="C7" s="18" t="s">
        <v>25</v>
      </c>
      <c r="D7" s="17" t="s">
        <v>26</v>
      </c>
      <c r="E7" s="19" t="s">
        <v>19</v>
      </c>
      <c r="F7" s="20" t="str">
        <f t="shared" si="2"/>
        <v>Código Centro Asistencial</v>
      </c>
      <c r="G7" s="8"/>
      <c r="H7" s="9"/>
      <c r="J7" s="13" t="s">
        <v>27</v>
      </c>
      <c r="K7" s="13" t="s">
        <v>28</v>
      </c>
      <c r="L7" s="14" t="str">
        <f t="shared" si="1"/>
        <v>Fecha Admisión en Emergencia</v>
      </c>
      <c r="M7" s="15" t="s">
        <v>29</v>
      </c>
      <c r="N7" s="16" t="s">
        <v>30</v>
      </c>
      <c r="O7" s="16" t="s">
        <v>31</v>
      </c>
    </row>
    <row r="8" ht="15.75" customHeight="1">
      <c r="B8" s="17" t="s">
        <v>16</v>
      </c>
      <c r="C8" s="18" t="s">
        <v>21</v>
      </c>
      <c r="D8" s="17" t="s">
        <v>32</v>
      </c>
      <c r="E8" s="19" t="s">
        <v>19</v>
      </c>
      <c r="F8" s="20" t="str">
        <f t="shared" si="2"/>
        <v>Número de Acto Médico</v>
      </c>
      <c r="G8" s="8"/>
      <c r="H8" s="9"/>
      <c r="J8" s="13" t="s">
        <v>33</v>
      </c>
      <c r="K8" s="13" t="s">
        <v>34</v>
      </c>
      <c r="L8" s="14" t="str">
        <f t="shared" si="1"/>
        <v>Hora Admisión en Emergencia</v>
      </c>
      <c r="M8" s="15" t="s">
        <v>35</v>
      </c>
      <c r="N8" s="16" t="s">
        <v>36</v>
      </c>
      <c r="O8" s="16" t="s">
        <v>37</v>
      </c>
    </row>
    <row r="9" ht="15.75" customHeight="1">
      <c r="B9" s="19" t="s">
        <v>38</v>
      </c>
      <c r="C9" s="18" t="s">
        <v>39</v>
      </c>
      <c r="D9" s="17" t="s">
        <v>40</v>
      </c>
      <c r="E9" s="19" t="s">
        <v>19</v>
      </c>
      <c r="F9" s="20" t="str">
        <f t="shared" si="2"/>
        <v>Código Area Hospitalaria</v>
      </c>
      <c r="G9" s="8"/>
      <c r="H9" s="9"/>
      <c r="J9" s="13" t="s">
        <v>41</v>
      </c>
      <c r="K9" s="13" t="s">
        <v>42</v>
      </c>
      <c r="L9" s="14" t="str">
        <f t="shared" si="1"/>
        <v>Fecha de Alta Administrativa o Fuga</v>
      </c>
      <c r="M9" s="15" t="s">
        <v>43</v>
      </c>
      <c r="N9" s="16" t="s">
        <v>44</v>
      </c>
      <c r="O9" s="16" t="s">
        <v>45</v>
      </c>
    </row>
    <row r="10" ht="15.75" customHeight="1">
      <c r="B10" s="19" t="s">
        <v>38</v>
      </c>
      <c r="C10" s="18" t="s">
        <v>46</v>
      </c>
      <c r="D10" s="17" t="s">
        <v>40</v>
      </c>
      <c r="E10" s="19" t="s">
        <v>19</v>
      </c>
      <c r="F10" s="20" t="str">
        <f t="shared" si="2"/>
        <v>Código de la Emergencia</v>
      </c>
      <c r="G10" s="8"/>
      <c r="H10" s="9"/>
      <c r="J10" s="13" t="s">
        <v>47</v>
      </c>
      <c r="K10" s="13" t="s">
        <v>48</v>
      </c>
      <c r="L10" s="14" t="str">
        <f t="shared" si="1"/>
        <v>Hora de Alta Administrativa o Fuga</v>
      </c>
      <c r="M10" s="15" t="s">
        <v>49</v>
      </c>
      <c r="N10" s="16" t="s">
        <v>50</v>
      </c>
      <c r="O10" s="16" t="s">
        <v>51</v>
      </c>
    </row>
    <row r="11" ht="15.75" customHeight="1">
      <c r="B11" s="19" t="s">
        <v>38</v>
      </c>
      <c r="C11" s="18" t="s">
        <v>28</v>
      </c>
      <c r="D11" s="17" t="s">
        <v>52</v>
      </c>
      <c r="E11" s="19" t="s">
        <v>19</v>
      </c>
      <c r="F11" s="20" t="str">
        <f t="shared" si="2"/>
        <v>Fecha Admisión en Emergencia</v>
      </c>
      <c r="G11" s="8"/>
      <c r="H11" s="9"/>
      <c r="J11" s="13" t="s">
        <v>53</v>
      </c>
      <c r="K11" s="13" t="s">
        <v>54</v>
      </c>
      <c r="L11" s="14" t="str">
        <f t="shared" si="1"/>
        <v>Observaciones en Alta Administrativa</v>
      </c>
      <c r="M11" s="15" t="s">
        <v>55</v>
      </c>
      <c r="N11" s="16" t="s">
        <v>56</v>
      </c>
      <c r="O11" s="16" t="s">
        <v>57</v>
      </c>
    </row>
    <row r="12" ht="15.75" customHeight="1">
      <c r="B12" s="19" t="s">
        <v>38</v>
      </c>
      <c r="C12" s="18" t="s">
        <v>34</v>
      </c>
      <c r="D12" s="17" t="s">
        <v>58</v>
      </c>
      <c r="E12" s="19" t="s">
        <v>19</v>
      </c>
      <c r="F12" s="20" t="str">
        <f t="shared" si="2"/>
        <v>Hora Admisión en Emergencia</v>
      </c>
      <c r="G12" s="8"/>
      <c r="H12" s="9"/>
      <c r="J12" s="13" t="s">
        <v>59</v>
      </c>
      <c r="K12" s="13" t="s">
        <v>60</v>
      </c>
      <c r="L12" s="14" t="str">
        <f t="shared" si="1"/>
        <v>Fecha del Resultado de la Atención que Indica Egreso (Alta Médica/Transferencia/Referencia)</v>
      </c>
      <c r="M12" s="15" t="s">
        <v>20</v>
      </c>
      <c r="N12" s="16" t="s">
        <v>61</v>
      </c>
      <c r="O12" s="16" t="s">
        <v>62</v>
      </c>
    </row>
    <row r="13" ht="15.75" customHeight="1">
      <c r="B13" s="19" t="s">
        <v>38</v>
      </c>
      <c r="C13" s="18" t="s">
        <v>63</v>
      </c>
      <c r="D13" s="17" t="s">
        <v>18</v>
      </c>
      <c r="E13" s="19" t="s">
        <v>19</v>
      </c>
      <c r="F13" s="20" t="str">
        <f t="shared" si="2"/>
        <v>Código Estado General del Paciente</v>
      </c>
      <c r="G13" s="8"/>
      <c r="H13" s="9"/>
      <c r="J13" s="13" t="s">
        <v>64</v>
      </c>
      <c r="K13" s="13" t="s">
        <v>65</v>
      </c>
      <c r="L13" s="14" t="str">
        <f t="shared" si="1"/>
        <v>Hora del Resultado de la Atención Que Indica Egreso (Alta Médica/Transferencia/Referencia)</v>
      </c>
      <c r="M13" s="15" t="s">
        <v>66</v>
      </c>
      <c r="N13" s="16" t="s">
        <v>67</v>
      </c>
      <c r="O13" s="16" t="s">
        <v>68</v>
      </c>
    </row>
    <row r="14" ht="15.75" customHeight="1">
      <c r="B14" s="19" t="s">
        <v>38</v>
      </c>
      <c r="C14" s="18" t="s">
        <v>69</v>
      </c>
      <c r="D14" s="17" t="s">
        <v>40</v>
      </c>
      <c r="E14" s="19" t="s">
        <v>19</v>
      </c>
      <c r="F14" s="20" t="str">
        <f t="shared" si="2"/>
        <v>Código del Tipo de Accidente</v>
      </c>
      <c r="G14" s="8"/>
      <c r="H14" s="9"/>
      <c r="J14" s="13" t="s">
        <v>70</v>
      </c>
      <c r="K14" s="13" t="s">
        <v>39</v>
      </c>
      <c r="L14" s="14" t="str">
        <f t="shared" si="1"/>
        <v>Código Area Hospitalaria</v>
      </c>
      <c r="M14" s="15" t="s">
        <v>71</v>
      </c>
      <c r="N14" s="16" t="s">
        <v>72</v>
      </c>
      <c r="O14" s="16" t="s">
        <v>73</v>
      </c>
    </row>
    <row r="15" ht="15.75" customHeight="1">
      <c r="B15" s="19" t="s">
        <v>38</v>
      </c>
      <c r="C15" s="18" t="s">
        <v>12</v>
      </c>
      <c r="D15" s="17" t="s">
        <v>18</v>
      </c>
      <c r="E15" s="19" t="s">
        <v>19</v>
      </c>
      <c r="F15" s="20" t="str">
        <f t="shared" si="2"/>
        <v>Código de Acompañamiento Paciente</v>
      </c>
      <c r="G15" s="8"/>
      <c r="H15" s="9"/>
      <c r="J15" s="13" t="s">
        <v>74</v>
      </c>
      <c r="K15" s="13" t="s">
        <v>75</v>
      </c>
      <c r="L15" s="14" t="str">
        <f t="shared" si="1"/>
        <v>Año Atención Triaje</v>
      </c>
      <c r="M15" s="15" t="s">
        <v>76</v>
      </c>
      <c r="N15" s="16" t="s">
        <v>77</v>
      </c>
      <c r="O15" s="16" t="s">
        <v>78</v>
      </c>
    </row>
    <row r="16" ht="15.75" customHeight="1">
      <c r="B16" s="19" t="s">
        <v>38</v>
      </c>
      <c r="C16" s="18" t="s">
        <v>79</v>
      </c>
      <c r="D16" s="17" t="s">
        <v>80</v>
      </c>
      <c r="E16" s="19" t="s">
        <v>19</v>
      </c>
      <c r="F16" s="20" t="str">
        <f t="shared" si="2"/>
        <v>Nombre y Apellidos del Acompañante</v>
      </c>
      <c r="G16" s="8"/>
      <c r="H16" s="9"/>
      <c r="J16" s="13" t="s">
        <v>81</v>
      </c>
      <c r="K16" s="13" t="s">
        <v>82</v>
      </c>
      <c r="L16" s="14" t="str">
        <f t="shared" si="1"/>
        <v>Código Area Hospitalaria Atención Triaje</v>
      </c>
      <c r="M16" s="15" t="s">
        <v>83</v>
      </c>
      <c r="N16" s="16" t="s">
        <v>84</v>
      </c>
      <c r="O16" s="16" t="s">
        <v>85</v>
      </c>
    </row>
    <row r="17" ht="15.75" customHeight="1">
      <c r="B17" s="19" t="s">
        <v>38</v>
      </c>
      <c r="C17" s="18" t="s">
        <v>86</v>
      </c>
      <c r="D17" s="17" t="s">
        <v>87</v>
      </c>
      <c r="E17" s="19" t="s">
        <v>19</v>
      </c>
      <c r="F17" s="20" t="str">
        <f t="shared" si="2"/>
        <v>Observaciones</v>
      </c>
      <c r="G17" s="8"/>
      <c r="H17" s="9"/>
      <c r="J17" s="13" t="s">
        <v>88</v>
      </c>
      <c r="K17" s="13" t="s">
        <v>89</v>
      </c>
      <c r="L17" s="14" t="str">
        <f t="shared" si="1"/>
        <v>Código Centro Asistencial Atención Triaje</v>
      </c>
      <c r="M17" s="15" t="s">
        <v>90</v>
      </c>
      <c r="N17" s="16" t="s">
        <v>91</v>
      </c>
      <c r="O17" s="16" t="s">
        <v>92</v>
      </c>
    </row>
    <row r="18" ht="15.75" customHeight="1">
      <c r="B18" s="19" t="s">
        <v>38</v>
      </c>
      <c r="C18" s="18" t="s">
        <v>93</v>
      </c>
      <c r="D18" s="17" t="s">
        <v>18</v>
      </c>
      <c r="E18" s="19" t="s">
        <v>19</v>
      </c>
      <c r="F18" s="20" t="str">
        <f t="shared" si="2"/>
        <v>¿Egresó de Emergencia?</v>
      </c>
      <c r="G18" s="8"/>
      <c r="H18" s="9"/>
      <c r="J18" s="13" t="s">
        <v>94</v>
      </c>
      <c r="K18" s="13" t="s">
        <v>95</v>
      </c>
      <c r="L18" s="14" t="str">
        <f t="shared" si="1"/>
        <v>Código de la Emergencia Atención Triaje</v>
      </c>
      <c r="M18" s="15" t="s">
        <v>96</v>
      </c>
      <c r="N18" s="16" t="s">
        <v>97</v>
      </c>
      <c r="O18" s="16" t="s">
        <v>98</v>
      </c>
    </row>
    <row r="19" ht="15.75" customHeight="1">
      <c r="B19" s="19" t="s">
        <v>38</v>
      </c>
      <c r="C19" s="18" t="s">
        <v>60</v>
      </c>
      <c r="D19" s="17" t="s">
        <v>52</v>
      </c>
      <c r="E19" s="19" t="s">
        <v>19</v>
      </c>
      <c r="F19" s="20" t="str">
        <f t="shared" si="2"/>
        <v>Fecha del Resultado de la Atención que Indica Egreso (Alta Médica/Transferencia/Referencia)</v>
      </c>
      <c r="G19" s="8"/>
      <c r="H19" s="9"/>
      <c r="J19" s="13" t="s">
        <v>99</v>
      </c>
      <c r="K19" s="13" t="s">
        <v>100</v>
      </c>
      <c r="L19" s="14" t="str">
        <f t="shared" si="1"/>
        <v>Número Atención Triaje</v>
      </c>
      <c r="M19" s="15" t="s">
        <v>101</v>
      </c>
      <c r="N19" s="16" t="s">
        <v>102</v>
      </c>
      <c r="O19" s="16" t="s">
        <v>103</v>
      </c>
    </row>
    <row r="20" ht="15.75" customHeight="1">
      <c r="B20" s="19" t="s">
        <v>38</v>
      </c>
      <c r="C20" s="18" t="s">
        <v>65</v>
      </c>
      <c r="D20" s="17" t="s">
        <v>58</v>
      </c>
      <c r="E20" s="19" t="s">
        <v>19</v>
      </c>
      <c r="F20" s="20" t="str">
        <f t="shared" si="2"/>
        <v>Hora del Resultado de la Atención Que Indica Egreso (Alta Médica/Transferencia/Referencia)</v>
      </c>
      <c r="G20" s="8"/>
      <c r="H20" s="9"/>
      <c r="J20" s="13" t="s">
        <v>104</v>
      </c>
      <c r="K20" s="13" t="s">
        <v>105</v>
      </c>
      <c r="L20" s="14" t="str">
        <f t="shared" si="1"/>
        <v>Código Origen Centro Asistencial Atención Triaje</v>
      </c>
      <c r="M20" s="15" t="s">
        <v>106</v>
      </c>
      <c r="N20" s="16" t="s">
        <v>107</v>
      </c>
      <c r="O20" s="16" t="s">
        <v>108</v>
      </c>
    </row>
    <row r="21" ht="15.75" customHeight="1">
      <c r="B21" s="19" t="s">
        <v>38</v>
      </c>
      <c r="C21" s="18" t="s">
        <v>109</v>
      </c>
      <c r="D21" s="17" t="s">
        <v>18</v>
      </c>
      <c r="E21" s="19" t="s">
        <v>19</v>
      </c>
      <c r="F21" s="20" t="str">
        <f t="shared" si="2"/>
        <v>Código Estado del registro</v>
      </c>
      <c r="G21" s="8"/>
      <c r="H21" s="9"/>
      <c r="J21" s="13" t="s">
        <v>22</v>
      </c>
      <c r="K21" s="13" t="s">
        <v>25</v>
      </c>
      <c r="L21" s="14" t="str">
        <f t="shared" si="1"/>
        <v>Código Centro Asistencial</v>
      </c>
      <c r="M21" s="15" t="s">
        <v>110</v>
      </c>
      <c r="N21" s="16" t="s">
        <v>111</v>
      </c>
      <c r="O21" s="16" t="s">
        <v>112</v>
      </c>
    </row>
    <row r="22" ht="15.75" customHeight="1">
      <c r="B22" s="19" t="s">
        <v>38</v>
      </c>
      <c r="C22" s="18" t="s">
        <v>113</v>
      </c>
      <c r="D22" s="17" t="s">
        <v>114</v>
      </c>
      <c r="E22" s="19" t="s">
        <v>19</v>
      </c>
      <c r="F22" s="20" t="str">
        <f t="shared" si="2"/>
        <v>Código Usuario Registra</v>
      </c>
      <c r="G22" s="8"/>
      <c r="H22" s="9"/>
      <c r="J22" s="13" t="s">
        <v>115</v>
      </c>
      <c r="K22" s="13" t="s">
        <v>116</v>
      </c>
      <c r="L22" s="14" t="str">
        <f t="shared" si="1"/>
        <v>Fecha y Hora Registra</v>
      </c>
      <c r="M22" s="15" t="s">
        <v>117</v>
      </c>
      <c r="N22" s="16" t="s">
        <v>118</v>
      </c>
      <c r="O22" s="16" t="s">
        <v>119</v>
      </c>
    </row>
    <row r="23" ht="15.75" customHeight="1">
      <c r="B23" s="19" t="s">
        <v>38</v>
      </c>
      <c r="C23" s="18" t="s">
        <v>116</v>
      </c>
      <c r="D23" s="17" t="s">
        <v>52</v>
      </c>
      <c r="E23" s="19" t="s">
        <v>19</v>
      </c>
      <c r="F23" s="20" t="str">
        <f t="shared" si="2"/>
        <v>Fecha y Hora Registra</v>
      </c>
      <c r="G23" s="8"/>
      <c r="H23" s="9"/>
      <c r="J23" s="13" t="s">
        <v>120</v>
      </c>
      <c r="K23" s="13" t="s">
        <v>121</v>
      </c>
      <c r="L23" s="14" t="str">
        <f t="shared" si="1"/>
        <v>Código Diagnóstico de Egreso (Dx Principal)</v>
      </c>
      <c r="M23" s="15" t="s">
        <v>122</v>
      </c>
      <c r="N23" s="16" t="s">
        <v>123</v>
      </c>
      <c r="O23" s="16" t="s">
        <v>124</v>
      </c>
    </row>
    <row r="24" ht="15.75" customHeight="1">
      <c r="B24" s="19" t="s">
        <v>38</v>
      </c>
      <c r="C24" s="18" t="s">
        <v>125</v>
      </c>
      <c r="D24" s="17" t="s">
        <v>114</v>
      </c>
      <c r="E24" s="19" t="s">
        <v>19</v>
      </c>
      <c r="F24" s="20" t="str">
        <f t="shared" si="2"/>
        <v>Código Usuario Modifica</v>
      </c>
      <c r="G24" s="8"/>
      <c r="H24" s="9"/>
      <c r="J24" s="13" t="s">
        <v>126</v>
      </c>
      <c r="K24" s="13" t="s">
        <v>93</v>
      </c>
      <c r="L24" s="14" t="str">
        <f t="shared" si="1"/>
        <v>¿Egresó de Emergencia?</v>
      </c>
      <c r="M24" s="15" t="s">
        <v>127</v>
      </c>
      <c r="N24" s="16" t="s">
        <v>128</v>
      </c>
      <c r="O24" s="16" t="s">
        <v>129</v>
      </c>
    </row>
    <row r="25" ht="15.75" customHeight="1">
      <c r="B25" s="19" t="s">
        <v>38</v>
      </c>
      <c r="C25" s="18" t="s">
        <v>130</v>
      </c>
      <c r="D25" s="17" t="s">
        <v>52</v>
      </c>
      <c r="E25" s="19" t="s">
        <v>19</v>
      </c>
      <c r="F25" s="20" t="str">
        <f t="shared" si="2"/>
        <v>Fecha y Hora Modifica</v>
      </c>
      <c r="G25" s="8"/>
      <c r="H25" s="9"/>
      <c r="J25" s="13" t="s">
        <v>131</v>
      </c>
      <c r="K25" s="13" t="s">
        <v>132</v>
      </c>
      <c r="L25" s="14" t="str">
        <f t="shared" si="1"/>
        <v>Código Tipo de Diagnóstico de Egreso (Dx Principal)</v>
      </c>
      <c r="M25" s="15" t="s">
        <v>115</v>
      </c>
      <c r="N25" s="16" t="s">
        <v>133</v>
      </c>
      <c r="O25" s="16" t="s">
        <v>134</v>
      </c>
    </row>
    <row r="26" ht="15.75" customHeight="1">
      <c r="B26" s="19" t="s">
        <v>38</v>
      </c>
      <c r="C26" s="18" t="s">
        <v>135</v>
      </c>
      <c r="D26" s="17" t="s">
        <v>40</v>
      </c>
      <c r="E26" s="19" t="s">
        <v>19</v>
      </c>
      <c r="F26" s="20" t="str">
        <f t="shared" si="2"/>
        <v>Código del Tópico Actual</v>
      </c>
      <c r="G26" s="8"/>
      <c r="H26" s="9"/>
      <c r="J26" s="13" t="s">
        <v>136</v>
      </c>
      <c r="K26" s="13" t="s">
        <v>46</v>
      </c>
      <c r="L26" s="14" t="str">
        <f t="shared" si="1"/>
        <v>Código de la Emergencia</v>
      </c>
      <c r="M26" s="15" t="s">
        <v>137</v>
      </c>
      <c r="N26" s="16" t="s">
        <v>138</v>
      </c>
      <c r="O26" s="16" t="s">
        <v>139</v>
      </c>
    </row>
    <row r="27" ht="15.75" customHeight="1">
      <c r="B27" s="19" t="s">
        <v>38</v>
      </c>
      <c r="C27" s="18" t="s">
        <v>140</v>
      </c>
      <c r="D27" s="17" t="s">
        <v>114</v>
      </c>
      <c r="E27" s="19" t="s">
        <v>19</v>
      </c>
      <c r="F27" s="20" t="str">
        <f t="shared" si="2"/>
        <v>Número de Pagaré</v>
      </c>
      <c r="G27" s="8"/>
      <c r="H27" s="9"/>
      <c r="J27" s="13" t="s">
        <v>117</v>
      </c>
      <c r="K27" s="13" t="s">
        <v>109</v>
      </c>
      <c r="L27" s="14" t="str">
        <f t="shared" si="1"/>
        <v>Código Estado del registro</v>
      </c>
      <c r="M27" s="15" t="s">
        <v>141</v>
      </c>
      <c r="N27" s="16" t="s">
        <v>142</v>
      </c>
      <c r="O27" s="16" t="s">
        <v>143</v>
      </c>
    </row>
    <row r="28" ht="15.75" customHeight="1">
      <c r="B28" s="19" t="s">
        <v>38</v>
      </c>
      <c r="C28" s="18" t="s">
        <v>42</v>
      </c>
      <c r="D28" s="17" t="s">
        <v>52</v>
      </c>
      <c r="E28" s="19" t="s">
        <v>19</v>
      </c>
      <c r="F28" s="20" t="str">
        <f t="shared" si="2"/>
        <v>Fecha de Alta Administrativa o Fuga</v>
      </c>
      <c r="G28" s="8"/>
      <c r="H28" s="9"/>
      <c r="J28" s="13" t="s">
        <v>141</v>
      </c>
      <c r="K28" s="13" t="s">
        <v>130</v>
      </c>
      <c r="L28" s="14" t="str">
        <f t="shared" si="1"/>
        <v>Fecha y Hora Modifica</v>
      </c>
      <c r="M28" s="15" t="s">
        <v>144</v>
      </c>
      <c r="N28" s="16" t="s">
        <v>145</v>
      </c>
      <c r="O28" s="16" t="s">
        <v>146</v>
      </c>
    </row>
    <row r="29" ht="15.75" customHeight="1">
      <c r="B29" s="19" t="s">
        <v>38</v>
      </c>
      <c r="C29" s="18" t="s">
        <v>48</v>
      </c>
      <c r="D29" s="17" t="s">
        <v>58</v>
      </c>
      <c r="E29" s="19" t="s">
        <v>19</v>
      </c>
      <c r="F29" s="20" t="str">
        <f t="shared" si="2"/>
        <v>Hora de Alta Administrativa o Fuga</v>
      </c>
      <c r="G29" s="8"/>
      <c r="H29" s="9"/>
      <c r="J29" s="13" t="s">
        <v>147</v>
      </c>
      <c r="K29" s="13" t="s">
        <v>148</v>
      </c>
      <c r="L29" s="14" t="str">
        <f t="shared" si="1"/>
        <v>Código Motivo del Egreso ** VER ELIMINAR **</v>
      </c>
      <c r="M29" s="15" t="s">
        <v>149</v>
      </c>
      <c r="N29" s="16" t="s">
        <v>150</v>
      </c>
      <c r="O29" s="16" t="s">
        <v>151</v>
      </c>
    </row>
    <row r="30" ht="15.75" customHeight="1">
      <c r="B30" s="19" t="s">
        <v>38</v>
      </c>
      <c r="C30" s="18" t="s">
        <v>54</v>
      </c>
      <c r="D30" s="17" t="s">
        <v>152</v>
      </c>
      <c r="E30" s="19" t="s">
        <v>19</v>
      </c>
      <c r="F30" s="20" t="str">
        <f t="shared" si="2"/>
        <v>Observaciones en Alta Administrativa</v>
      </c>
      <c r="G30" s="8"/>
      <c r="H30" s="9"/>
      <c r="J30" s="13" t="s">
        <v>153</v>
      </c>
      <c r="K30" s="13" t="s">
        <v>86</v>
      </c>
      <c r="L30" s="14" t="str">
        <f t="shared" si="1"/>
        <v>Observaciones</v>
      </c>
      <c r="M30" s="15" t="s">
        <v>154</v>
      </c>
      <c r="N30" s="16" t="s">
        <v>155</v>
      </c>
      <c r="O30" s="16" t="s">
        <v>156</v>
      </c>
    </row>
    <row r="31" ht="15.75" customHeight="1">
      <c r="B31" s="19" t="s">
        <v>38</v>
      </c>
      <c r="C31" s="18" t="s">
        <v>105</v>
      </c>
      <c r="D31" s="17" t="s">
        <v>18</v>
      </c>
      <c r="E31" s="19" t="s">
        <v>19</v>
      </c>
      <c r="F31" s="20" t="str">
        <f t="shared" si="2"/>
        <v>Código Origen Centro Asistencial Atención Triaje</v>
      </c>
      <c r="G31" s="8"/>
      <c r="H31" s="9"/>
      <c r="J31" s="13" t="s">
        <v>13</v>
      </c>
      <c r="K31" s="13" t="s">
        <v>17</v>
      </c>
      <c r="L31" s="14" t="str">
        <f t="shared" si="1"/>
        <v>Código Origen Centro Asistencial</v>
      </c>
      <c r="M31" s="15" t="s">
        <v>157</v>
      </c>
      <c r="N31" s="16" t="s">
        <v>158</v>
      </c>
      <c r="O31" s="16" t="s">
        <v>159</v>
      </c>
    </row>
    <row r="32" ht="15.75" customHeight="1">
      <c r="B32" s="19" t="s">
        <v>38</v>
      </c>
      <c r="C32" s="18" t="s">
        <v>89</v>
      </c>
      <c r="D32" s="17" t="s">
        <v>26</v>
      </c>
      <c r="E32" s="19" t="s">
        <v>19</v>
      </c>
      <c r="F32" s="20" t="str">
        <f t="shared" si="2"/>
        <v>Código Centro Asistencial Atención Triaje</v>
      </c>
      <c r="G32" s="8"/>
      <c r="H32" s="9"/>
      <c r="J32" s="13" t="s">
        <v>160</v>
      </c>
      <c r="K32" s="13" t="s">
        <v>161</v>
      </c>
      <c r="L32" s="14" t="str">
        <f t="shared" si="1"/>
        <v>Número de Secuencia del Paciente</v>
      </c>
      <c r="M32" s="15" t="s">
        <v>162</v>
      </c>
      <c r="N32" s="16" t="s">
        <v>163</v>
      </c>
      <c r="O32" s="16" t="s">
        <v>164</v>
      </c>
    </row>
    <row r="33" ht="15.75" customHeight="1">
      <c r="B33" s="19" t="s">
        <v>38</v>
      </c>
      <c r="C33" s="18" t="s">
        <v>82</v>
      </c>
      <c r="D33" s="17" t="s">
        <v>40</v>
      </c>
      <c r="E33" s="19" t="s">
        <v>19</v>
      </c>
      <c r="F33" s="20" t="str">
        <f t="shared" si="2"/>
        <v>Código Area Hospitalaria Atención Triaje</v>
      </c>
      <c r="G33" s="8"/>
      <c r="H33" s="9"/>
      <c r="J33" s="13" t="s">
        <v>165</v>
      </c>
      <c r="K33" s="13" t="s">
        <v>140</v>
      </c>
      <c r="L33" s="14" t="str">
        <f t="shared" si="1"/>
        <v>Número de Pagaré</v>
      </c>
      <c r="M33" s="15" t="s">
        <v>70</v>
      </c>
      <c r="N33" s="16" t="s">
        <v>166</v>
      </c>
      <c r="O33" s="16" t="s">
        <v>167</v>
      </c>
    </row>
    <row r="34" ht="15.75" customHeight="1">
      <c r="B34" s="19" t="s">
        <v>38</v>
      </c>
      <c r="C34" s="18" t="s">
        <v>95</v>
      </c>
      <c r="D34" s="17" t="s">
        <v>40</v>
      </c>
      <c r="E34" s="19" t="s">
        <v>19</v>
      </c>
      <c r="F34" s="20" t="str">
        <f t="shared" si="2"/>
        <v>Código de la Emergencia Atención Triaje</v>
      </c>
      <c r="G34" s="8"/>
      <c r="H34" s="9"/>
      <c r="J34" s="13" t="s">
        <v>168</v>
      </c>
      <c r="K34" s="13" t="s">
        <v>169</v>
      </c>
      <c r="L34" s="14" t="str">
        <f t="shared" si="1"/>
        <v>Código Ultimo Resultado de la Atención en Emergencia</v>
      </c>
      <c r="M34" s="15" t="s">
        <v>170</v>
      </c>
      <c r="N34" s="16" t="s">
        <v>171</v>
      </c>
      <c r="O34" s="16" t="s">
        <v>172</v>
      </c>
    </row>
    <row r="35" ht="15.75" customHeight="1">
      <c r="B35" s="19" t="s">
        <v>38</v>
      </c>
      <c r="C35" s="18" t="s">
        <v>75</v>
      </c>
      <c r="D35" s="17" t="s">
        <v>173</v>
      </c>
      <c r="E35" s="19" t="s">
        <v>19</v>
      </c>
      <c r="F35" s="20" t="str">
        <f t="shared" si="2"/>
        <v>Año Atención Triaje</v>
      </c>
      <c r="G35" s="8"/>
      <c r="H35" s="9"/>
      <c r="J35" s="13" t="s">
        <v>174</v>
      </c>
      <c r="K35" s="13" t="s">
        <v>175</v>
      </c>
      <c r="L35" s="14" t="str">
        <f t="shared" si="1"/>
        <v>¿Con Resultado de la Atención que Indica Egreso? (Alta Médica/Transferencia/Referencia)</v>
      </c>
      <c r="M35" s="15" t="s">
        <v>176</v>
      </c>
      <c r="N35" s="16" t="s">
        <v>177</v>
      </c>
      <c r="O35" s="16" t="s">
        <v>178</v>
      </c>
    </row>
    <row r="36" ht="15.75" customHeight="1">
      <c r="B36" s="19" t="s">
        <v>38</v>
      </c>
      <c r="C36" s="18" t="s">
        <v>100</v>
      </c>
      <c r="D36" s="17" t="s">
        <v>32</v>
      </c>
      <c r="E36" s="19" t="s">
        <v>19</v>
      </c>
      <c r="F36" s="20" t="str">
        <f t="shared" si="2"/>
        <v>Número Atención Triaje</v>
      </c>
      <c r="G36" s="8"/>
      <c r="H36" s="9"/>
      <c r="J36" s="13" t="s">
        <v>179</v>
      </c>
      <c r="K36" s="13" t="s">
        <v>180</v>
      </c>
      <c r="L36" s="14" t="str">
        <f t="shared" si="1"/>
        <v>Sospechoso COVID</v>
      </c>
      <c r="M36" s="15" t="s">
        <v>181</v>
      </c>
      <c r="N36" s="16" t="s">
        <v>182</v>
      </c>
      <c r="O36" s="16" t="s">
        <v>183</v>
      </c>
    </row>
    <row r="37" ht="15.75" customHeight="1">
      <c r="B37" s="19" t="s">
        <v>38</v>
      </c>
      <c r="C37" s="18" t="s">
        <v>148</v>
      </c>
      <c r="D37" s="17" t="s">
        <v>40</v>
      </c>
      <c r="E37" s="19" t="s">
        <v>19</v>
      </c>
      <c r="F37" s="20" t="str">
        <f t="shared" si="2"/>
        <v>Código Motivo del Egreso ** VER ELIMINAR **</v>
      </c>
      <c r="G37" s="8"/>
      <c r="H37" s="9"/>
      <c r="J37" s="13" t="s">
        <v>184</v>
      </c>
      <c r="K37" s="13" t="s">
        <v>135</v>
      </c>
      <c r="L37" s="14" t="str">
        <f t="shared" si="1"/>
        <v>Código del Tópico Actual</v>
      </c>
      <c r="M37" s="15" t="s">
        <v>185</v>
      </c>
      <c r="N37" s="16" t="s">
        <v>186</v>
      </c>
      <c r="O37" s="16" t="s">
        <v>187</v>
      </c>
    </row>
    <row r="38" ht="15.75" customHeight="1">
      <c r="B38" s="19" t="s">
        <v>38</v>
      </c>
      <c r="C38" s="18" t="s">
        <v>188</v>
      </c>
      <c r="D38" s="17" t="s">
        <v>18</v>
      </c>
      <c r="E38" s="19" t="s">
        <v>19</v>
      </c>
      <c r="F38" s="20" t="str">
        <f t="shared" si="2"/>
        <v>Código Ultima Prioridad Atención en Emergencia</v>
      </c>
      <c r="G38" s="8"/>
      <c r="H38" s="9"/>
      <c r="J38" s="13" t="s">
        <v>189</v>
      </c>
      <c r="K38" s="13" t="s">
        <v>188</v>
      </c>
      <c r="L38" s="14" t="str">
        <f t="shared" si="1"/>
        <v>Código Ultima Prioridad Atención en Emergencia</v>
      </c>
      <c r="M38" s="15" t="s">
        <v>190</v>
      </c>
      <c r="N38" s="16" t="s">
        <v>191</v>
      </c>
      <c r="O38" s="16" t="s">
        <v>192</v>
      </c>
    </row>
    <row r="39" ht="15.75" customHeight="1">
      <c r="B39" s="19" t="s">
        <v>38</v>
      </c>
      <c r="C39" s="18" t="s">
        <v>169</v>
      </c>
      <c r="D39" s="17" t="s">
        <v>40</v>
      </c>
      <c r="E39" s="19" t="s">
        <v>19</v>
      </c>
      <c r="F39" s="20" t="str">
        <f t="shared" si="2"/>
        <v>Código Ultimo Resultado de la Atención en Emergencia</v>
      </c>
      <c r="G39" s="8"/>
      <c r="H39" s="9"/>
      <c r="J39" s="13" t="s">
        <v>127</v>
      </c>
      <c r="K39" s="13" t="s">
        <v>113</v>
      </c>
      <c r="L39" s="14" t="str">
        <f t="shared" si="1"/>
        <v>Código Usuario Registra</v>
      </c>
      <c r="M39" s="15" t="s">
        <v>193</v>
      </c>
      <c r="N39" s="16" t="s">
        <v>194</v>
      </c>
      <c r="O39" s="16" t="s">
        <v>195</v>
      </c>
    </row>
    <row r="40" ht="15.75" customHeight="1">
      <c r="B40" s="19" t="s">
        <v>38</v>
      </c>
      <c r="C40" s="18" t="s">
        <v>175</v>
      </c>
      <c r="D40" s="17" t="s">
        <v>18</v>
      </c>
      <c r="E40" s="19" t="s">
        <v>19</v>
      </c>
      <c r="F40" s="20" t="str">
        <f t="shared" si="2"/>
        <v>¿Con Resultado de la Atención que Indica Egreso? (Alta Médica/Transferencia/Referencia)</v>
      </c>
      <c r="G40" s="8"/>
      <c r="H40" s="9"/>
      <c r="J40" s="13" t="s">
        <v>137</v>
      </c>
      <c r="K40" s="13" t="s">
        <v>125</v>
      </c>
      <c r="L40" s="14" t="str">
        <f t="shared" si="1"/>
        <v>Código Usuario Modifica</v>
      </c>
      <c r="M40" s="15" t="s">
        <v>196</v>
      </c>
      <c r="N40" s="16" t="s">
        <v>197</v>
      </c>
      <c r="O40" s="16" t="s">
        <v>198</v>
      </c>
    </row>
    <row r="41" ht="15.75" customHeight="1">
      <c r="B41" s="19" t="s">
        <v>38</v>
      </c>
      <c r="C41" s="18" t="s">
        <v>121</v>
      </c>
      <c r="D41" s="17" t="s">
        <v>199</v>
      </c>
      <c r="E41" s="19" t="s">
        <v>19</v>
      </c>
      <c r="F41" s="20" t="str">
        <f t="shared" si="2"/>
        <v>Código Diagnóstico de Egreso (Dx Principal)</v>
      </c>
      <c r="G41" s="8"/>
      <c r="H41" s="9"/>
      <c r="J41" s="13" t="s">
        <v>200</v>
      </c>
      <c r="K41" s="13" t="s">
        <v>63</v>
      </c>
      <c r="L41" s="14" t="str">
        <f t="shared" si="1"/>
        <v>Código Estado General del Paciente</v>
      </c>
      <c r="M41" s="15" t="s">
        <v>201</v>
      </c>
      <c r="N41" s="16" t="s">
        <v>202</v>
      </c>
      <c r="O41" s="16" t="s">
        <v>203</v>
      </c>
    </row>
    <row r="42" ht="15.75" customHeight="1">
      <c r="B42" s="19" t="s">
        <v>38</v>
      </c>
      <c r="C42" s="18" t="s">
        <v>132</v>
      </c>
      <c r="D42" s="17" t="s">
        <v>18</v>
      </c>
      <c r="E42" s="19" t="s">
        <v>19</v>
      </c>
      <c r="F42" s="20" t="str">
        <f t="shared" si="2"/>
        <v>Código Tipo de Diagnóstico de Egreso (Dx Principal)</v>
      </c>
      <c r="G42" s="8"/>
      <c r="H42" s="9"/>
      <c r="J42" s="13" t="s">
        <v>204</v>
      </c>
      <c r="K42" s="13" t="s">
        <v>69</v>
      </c>
      <c r="L42" s="14" t="str">
        <f t="shared" si="1"/>
        <v>Código del Tipo de Accidente</v>
      </c>
      <c r="M42" s="15" t="s">
        <v>205</v>
      </c>
      <c r="N42" s="16" t="s">
        <v>206</v>
      </c>
      <c r="O42" s="16" t="s">
        <v>207</v>
      </c>
    </row>
    <row r="43" ht="15.75" customHeight="1">
      <c r="B43" s="19" t="s">
        <v>38</v>
      </c>
      <c r="C43" s="18" t="s">
        <v>161</v>
      </c>
      <c r="D43" s="17" t="s">
        <v>32</v>
      </c>
      <c r="E43" s="19" t="s">
        <v>19</v>
      </c>
      <c r="F43" s="20" t="str">
        <f t="shared" si="2"/>
        <v>Número de Secuencia del Paciente</v>
      </c>
      <c r="G43" s="8"/>
      <c r="H43" s="9"/>
      <c r="J43" s="13" t="s">
        <v>35</v>
      </c>
      <c r="K43" s="13" t="s">
        <v>208</v>
      </c>
      <c r="L43" s="21" t="s">
        <v>209</v>
      </c>
      <c r="M43" s="15" t="s">
        <v>210</v>
      </c>
      <c r="N43" s="16" t="s">
        <v>211</v>
      </c>
      <c r="O43" s="16" t="s">
        <v>212</v>
      </c>
    </row>
    <row r="44" ht="15.75" customHeight="1">
      <c r="B44" s="19" t="s">
        <v>38</v>
      </c>
      <c r="C44" s="18" t="s">
        <v>180</v>
      </c>
      <c r="D44" s="17" t="s">
        <v>213</v>
      </c>
      <c r="E44" s="19" t="s">
        <v>19</v>
      </c>
      <c r="F44" s="20" t="str">
        <f t="shared" si="2"/>
        <v>Sospechoso COVID</v>
      </c>
      <c r="G44" s="8"/>
      <c r="H44" s="9"/>
      <c r="J44" s="13" t="s">
        <v>29</v>
      </c>
      <c r="K44" s="13" t="s">
        <v>208</v>
      </c>
      <c r="L44" s="14" t="str">
        <f t="shared" ref="L44:L65" si="3">VLOOKUP(K44,$N$5:$O$49,2,0)</f>
        <v>#N/A</v>
      </c>
      <c r="M44" s="15" t="s">
        <v>214</v>
      </c>
      <c r="N44" s="22" t="s">
        <v>215</v>
      </c>
      <c r="O44" s="16" t="s">
        <v>216</v>
      </c>
    </row>
    <row r="45" ht="15.75" customHeight="1">
      <c r="D45" s="1"/>
      <c r="J45" s="13" t="s">
        <v>217</v>
      </c>
      <c r="K45" s="13" t="s">
        <v>218</v>
      </c>
      <c r="L45" s="14" t="str">
        <f t="shared" si="3"/>
        <v>#N/A</v>
      </c>
      <c r="N45" s="22" t="s">
        <v>219</v>
      </c>
      <c r="O45" s="16" t="s">
        <v>220</v>
      </c>
    </row>
    <row r="46" ht="15.75" customHeight="1">
      <c r="D46" s="1"/>
      <c r="J46" s="13" t="s">
        <v>221</v>
      </c>
      <c r="K46" s="13" t="s">
        <v>222</v>
      </c>
      <c r="L46" s="14" t="str">
        <f t="shared" si="3"/>
        <v>#N/A</v>
      </c>
      <c r="N46" s="22" t="s">
        <v>223</v>
      </c>
      <c r="O46" s="16" t="s">
        <v>224</v>
      </c>
    </row>
    <row r="47" ht="15.75" customHeight="1">
      <c r="D47" s="1"/>
      <c r="J47" s="13" t="s">
        <v>43</v>
      </c>
      <c r="K47" s="13" t="s">
        <v>225</v>
      </c>
      <c r="L47" s="14" t="str">
        <f t="shared" si="3"/>
        <v>#N/A</v>
      </c>
      <c r="N47" s="22" t="s">
        <v>226</v>
      </c>
      <c r="O47" s="16" t="s">
        <v>227</v>
      </c>
    </row>
    <row r="48" ht="15.75" customHeight="1">
      <c r="D48" s="1"/>
      <c r="J48" s="13" t="s">
        <v>228</v>
      </c>
      <c r="K48" s="13" t="s">
        <v>229</v>
      </c>
      <c r="L48" s="14" t="str">
        <f t="shared" si="3"/>
        <v>#N/A</v>
      </c>
      <c r="N48" s="22" t="s">
        <v>230</v>
      </c>
      <c r="O48" s="16" t="s">
        <v>231</v>
      </c>
    </row>
    <row r="49" ht="15.75" customHeight="1">
      <c r="D49" s="1"/>
      <c r="J49" s="13" t="s">
        <v>232</v>
      </c>
      <c r="K49" s="13" t="s">
        <v>233</v>
      </c>
      <c r="L49" s="14" t="str">
        <f t="shared" si="3"/>
        <v>#N/A</v>
      </c>
      <c r="N49" s="22" t="s">
        <v>234</v>
      </c>
      <c r="O49" s="16" t="s">
        <v>235</v>
      </c>
    </row>
    <row r="50" ht="15.75" customHeight="1">
      <c r="D50" s="1"/>
      <c r="J50" s="13" t="s">
        <v>236</v>
      </c>
      <c r="K50" s="13" t="s">
        <v>237</v>
      </c>
      <c r="L50" s="14" t="str">
        <f t="shared" si="3"/>
        <v>#N/A</v>
      </c>
    </row>
    <row r="51" ht="15.75" customHeight="1">
      <c r="D51" s="1"/>
      <c r="J51" s="13" t="s">
        <v>238</v>
      </c>
      <c r="K51" s="13" t="s">
        <v>239</v>
      </c>
      <c r="L51" s="14" t="str">
        <f t="shared" si="3"/>
        <v>#N/A</v>
      </c>
    </row>
    <row r="52" ht="15.75" customHeight="1">
      <c r="D52" s="1"/>
      <c r="J52" s="13" t="s">
        <v>160</v>
      </c>
      <c r="K52" s="13" t="s">
        <v>240</v>
      </c>
      <c r="L52" s="14" t="str">
        <f t="shared" si="3"/>
        <v>#N/A</v>
      </c>
    </row>
    <row r="53" ht="15.75" customHeight="1">
      <c r="D53" s="1"/>
      <c r="J53" s="13" t="s">
        <v>241</v>
      </c>
      <c r="K53" s="13" t="s">
        <v>242</v>
      </c>
      <c r="L53" s="14" t="str">
        <f t="shared" si="3"/>
        <v>#N/A</v>
      </c>
    </row>
    <row r="54" ht="15.75" customHeight="1">
      <c r="D54" s="1"/>
      <c r="J54" s="13" t="s">
        <v>243</v>
      </c>
      <c r="K54" s="13" t="s">
        <v>244</v>
      </c>
      <c r="L54" s="14" t="str">
        <f t="shared" si="3"/>
        <v>#N/A</v>
      </c>
    </row>
    <row r="55" ht="15.75" customHeight="1">
      <c r="D55" s="1"/>
      <c r="J55" s="13" t="s">
        <v>245</v>
      </c>
      <c r="K55" s="13" t="s">
        <v>246</v>
      </c>
      <c r="L55" s="14" t="str">
        <f t="shared" si="3"/>
        <v>#N/A</v>
      </c>
    </row>
    <row r="56" ht="15.75" customHeight="1">
      <c r="D56" s="1"/>
      <c r="J56" s="13" t="s">
        <v>247</v>
      </c>
      <c r="K56" s="13" t="s">
        <v>248</v>
      </c>
      <c r="L56" s="14" t="str">
        <f t="shared" si="3"/>
        <v>#N/A</v>
      </c>
    </row>
    <row r="57" ht="15.75" customHeight="1">
      <c r="D57" s="1"/>
      <c r="J57" s="13" t="s">
        <v>249</v>
      </c>
      <c r="K57" s="13" t="s">
        <v>250</v>
      </c>
      <c r="L57" s="14" t="str">
        <f t="shared" si="3"/>
        <v>#N/A</v>
      </c>
    </row>
    <row r="58" ht="15.75" customHeight="1">
      <c r="D58" s="1"/>
      <c r="J58" s="13" t="s">
        <v>251</v>
      </c>
      <c r="K58" s="13" t="s">
        <v>252</v>
      </c>
      <c r="L58" s="14" t="str">
        <f t="shared" si="3"/>
        <v>#N/A</v>
      </c>
    </row>
    <row r="59" ht="15.75" customHeight="1">
      <c r="D59" s="1"/>
      <c r="J59" s="13" t="s">
        <v>253</v>
      </c>
      <c r="K59" s="13" t="s">
        <v>254</v>
      </c>
      <c r="L59" s="14" t="str">
        <f t="shared" si="3"/>
        <v>#N/A</v>
      </c>
    </row>
    <row r="60" ht="15.75" customHeight="1">
      <c r="D60" s="1"/>
      <c r="J60" s="13" t="s">
        <v>255</v>
      </c>
      <c r="K60" s="13" t="s">
        <v>256</v>
      </c>
      <c r="L60" s="14" t="str">
        <f t="shared" si="3"/>
        <v>#N/A</v>
      </c>
    </row>
    <row r="61" ht="15.75" customHeight="1">
      <c r="D61" s="1"/>
      <c r="J61" s="13" t="s">
        <v>257</v>
      </c>
      <c r="K61" s="13" t="s">
        <v>258</v>
      </c>
      <c r="L61" s="14" t="str">
        <f t="shared" si="3"/>
        <v>#N/A</v>
      </c>
    </row>
    <row r="62" ht="15.75" customHeight="1">
      <c r="D62" s="1"/>
      <c r="J62" s="13" t="s">
        <v>179</v>
      </c>
      <c r="K62" s="13" t="s">
        <v>259</v>
      </c>
      <c r="L62" s="14" t="str">
        <f t="shared" si="3"/>
        <v>#N/A</v>
      </c>
    </row>
    <row r="63" ht="15.75" customHeight="1">
      <c r="D63" s="1"/>
      <c r="J63" s="13" t="s">
        <v>260</v>
      </c>
      <c r="K63" s="13" t="s">
        <v>261</v>
      </c>
      <c r="L63" s="14" t="str">
        <f t="shared" si="3"/>
        <v>#N/A</v>
      </c>
    </row>
    <row r="64" ht="15.75" customHeight="1">
      <c r="D64" s="1"/>
      <c r="J64" s="13" t="s">
        <v>262</v>
      </c>
      <c r="K64" s="13" t="s">
        <v>263</v>
      </c>
      <c r="L64" s="14" t="str">
        <f t="shared" si="3"/>
        <v>#N/A</v>
      </c>
    </row>
    <row r="65" ht="15.75" customHeight="1">
      <c r="D65" s="1"/>
      <c r="J65" s="13"/>
      <c r="K65" s="13"/>
      <c r="L65" s="14" t="str">
        <f t="shared" si="3"/>
        <v>#N/A</v>
      </c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</sheetData>
  <mergeCells count="41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9:H39"/>
    <mergeCell ref="F40:H40"/>
    <mergeCell ref="F41:H41"/>
    <mergeCell ref="F42:H42"/>
    <mergeCell ref="F43:H43"/>
    <mergeCell ref="F44:H44"/>
    <mergeCell ref="F32:H32"/>
    <mergeCell ref="F33:H33"/>
    <mergeCell ref="F34:H34"/>
    <mergeCell ref="F35:H35"/>
    <mergeCell ref="F36:H36"/>
    <mergeCell ref="F37:H37"/>
    <mergeCell ref="F38:H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>
      <c r="D1" s="1"/>
    </row>
    <row r="2" ht="15.75" customHeight="1">
      <c r="D2" s="1"/>
    </row>
    <row r="3" ht="15.75" customHeight="1">
      <c r="B3" s="2" t="s">
        <v>0</v>
      </c>
      <c r="C3" s="3" t="s">
        <v>264</v>
      </c>
      <c r="D3" s="4"/>
      <c r="E3" s="5"/>
      <c r="F3" s="5"/>
      <c r="G3" s="5"/>
      <c r="H3" s="6"/>
    </row>
    <row r="4" ht="15.75" customHeight="1">
      <c r="B4" s="7" t="s">
        <v>265</v>
      </c>
      <c r="C4" s="8"/>
      <c r="D4" s="8"/>
      <c r="E4" s="8"/>
      <c r="F4" s="8"/>
      <c r="G4" s="8"/>
      <c r="H4" s="9"/>
      <c r="J4" s="10" t="s">
        <v>3</v>
      </c>
      <c r="K4" s="10" t="s">
        <v>4</v>
      </c>
      <c r="L4" s="10" t="s">
        <v>5</v>
      </c>
    </row>
    <row r="5" ht="15.75" customHeight="1"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8"/>
      <c r="H5" s="9"/>
      <c r="J5" s="21" t="s">
        <v>266</v>
      </c>
      <c r="K5" s="21" t="s">
        <v>267</v>
      </c>
      <c r="L5" s="14" t="str">
        <f t="shared" ref="L5:L27" si="1">VLOOKUP(K5,$M$5:$N$31,2,0)</f>
        <v>Código Estado Permanencia en Emergencia</v>
      </c>
      <c r="M5" s="16" t="s">
        <v>14</v>
      </c>
      <c r="N5" s="16" t="s">
        <v>15</v>
      </c>
    </row>
    <row r="6" ht="15.75" customHeight="1">
      <c r="B6" s="17" t="s">
        <v>268</v>
      </c>
      <c r="C6" s="18" t="s">
        <v>17</v>
      </c>
      <c r="D6" s="17" t="s">
        <v>18</v>
      </c>
      <c r="E6" s="19" t="s">
        <v>19</v>
      </c>
      <c r="F6" s="20" t="str">
        <f t="shared" ref="F6:F28" si="2">VLOOKUP(C6,$K$4:$L$75,2,0)</f>
        <v>Código Origen Centro Asistencial</v>
      </c>
      <c r="G6" s="8"/>
      <c r="H6" s="9"/>
      <c r="J6" s="21" t="s">
        <v>269</v>
      </c>
      <c r="K6" s="21" t="s">
        <v>17</v>
      </c>
      <c r="L6" s="14" t="str">
        <f t="shared" si="1"/>
        <v>Código Origen Centro Asistencial</v>
      </c>
      <c r="M6" s="16" t="s">
        <v>23</v>
      </c>
      <c r="N6" s="16" t="s">
        <v>24</v>
      </c>
    </row>
    <row r="7" ht="15.75" customHeight="1">
      <c r="B7" s="17" t="s">
        <v>268</v>
      </c>
      <c r="C7" s="18" t="s">
        <v>25</v>
      </c>
      <c r="D7" s="17" t="s">
        <v>26</v>
      </c>
      <c r="E7" s="19" t="s">
        <v>19</v>
      </c>
      <c r="F7" s="20" t="str">
        <f t="shared" si="2"/>
        <v>Código Centro Asistencial</v>
      </c>
      <c r="G7" s="8"/>
      <c r="H7" s="9"/>
      <c r="J7" s="21" t="s">
        <v>22</v>
      </c>
      <c r="K7" s="21" t="s">
        <v>25</v>
      </c>
      <c r="L7" s="14" t="str">
        <f t="shared" si="1"/>
        <v>Código Centro Asistencial</v>
      </c>
      <c r="M7" s="16" t="s">
        <v>30</v>
      </c>
      <c r="N7" s="16" t="s">
        <v>31</v>
      </c>
    </row>
    <row r="8" ht="15.75" customHeight="1">
      <c r="B8" s="17" t="s">
        <v>268</v>
      </c>
      <c r="C8" s="18" t="s">
        <v>21</v>
      </c>
      <c r="D8" s="17" t="s">
        <v>32</v>
      </c>
      <c r="E8" s="19" t="s">
        <v>19</v>
      </c>
      <c r="F8" s="20" t="str">
        <f t="shared" si="2"/>
        <v>Número de Acto Médico</v>
      </c>
      <c r="G8" s="8"/>
      <c r="H8" s="9"/>
      <c r="J8" s="21" t="s">
        <v>20</v>
      </c>
      <c r="K8" s="21" t="s">
        <v>21</v>
      </c>
      <c r="L8" s="14" t="str">
        <f t="shared" si="1"/>
        <v>Número de Acto Médico</v>
      </c>
      <c r="M8" s="16" t="s">
        <v>270</v>
      </c>
      <c r="N8" s="16" t="s">
        <v>271</v>
      </c>
    </row>
    <row r="9" ht="15.75" customHeight="1">
      <c r="B9" s="17" t="s">
        <v>268</v>
      </c>
      <c r="C9" s="18" t="s">
        <v>272</v>
      </c>
      <c r="D9" s="17" t="s">
        <v>273</v>
      </c>
      <c r="E9" s="19" t="s">
        <v>19</v>
      </c>
      <c r="F9" s="20" t="str">
        <f t="shared" si="2"/>
        <v>Número de Secuencia Movimiento</v>
      </c>
      <c r="G9" s="8"/>
      <c r="H9" s="9"/>
      <c r="J9" s="21" t="s">
        <v>137</v>
      </c>
      <c r="K9" s="21" t="s">
        <v>274</v>
      </c>
      <c r="L9" s="14" t="str">
        <f t="shared" si="1"/>
        <v>Código Usuario Modifica</v>
      </c>
      <c r="M9" s="16" t="s">
        <v>275</v>
      </c>
      <c r="N9" s="16" t="s">
        <v>37</v>
      </c>
    </row>
    <row r="10" ht="15.75" customHeight="1">
      <c r="B10" s="17" t="s">
        <v>38</v>
      </c>
      <c r="C10" s="18" t="s">
        <v>276</v>
      </c>
      <c r="D10" s="17" t="s">
        <v>40</v>
      </c>
      <c r="E10" s="19" t="s">
        <v>19</v>
      </c>
      <c r="F10" s="20" t="str">
        <f t="shared" si="2"/>
        <v>Código Area Hospitalaria</v>
      </c>
      <c r="G10" s="8"/>
      <c r="H10" s="9"/>
      <c r="J10" s="21" t="s">
        <v>127</v>
      </c>
      <c r="K10" s="21" t="s">
        <v>277</v>
      </c>
      <c r="L10" s="14" t="str">
        <f t="shared" si="1"/>
        <v>Código Usuario Registra</v>
      </c>
      <c r="M10" s="16" t="s">
        <v>278</v>
      </c>
      <c r="N10" s="16" t="s">
        <v>45</v>
      </c>
    </row>
    <row r="11" ht="15.75" customHeight="1">
      <c r="B11" s="17" t="s">
        <v>38</v>
      </c>
      <c r="C11" s="18" t="s">
        <v>279</v>
      </c>
      <c r="D11" s="17" t="s">
        <v>40</v>
      </c>
      <c r="E11" s="19" t="s">
        <v>19</v>
      </c>
      <c r="F11" s="20" t="str">
        <f t="shared" si="2"/>
        <v>Código de la Emergencia</v>
      </c>
      <c r="G11" s="8"/>
      <c r="H11" s="9"/>
      <c r="J11" s="21" t="s">
        <v>280</v>
      </c>
      <c r="K11" s="21" t="s">
        <v>281</v>
      </c>
      <c r="L11" s="14" t="str">
        <f t="shared" si="1"/>
        <v>Código Tópico Destino en Emergencia (Transferencias)</v>
      </c>
      <c r="M11" s="16" t="s">
        <v>282</v>
      </c>
      <c r="N11" s="16" t="s">
        <v>283</v>
      </c>
    </row>
    <row r="12" ht="15.75" customHeight="1">
      <c r="B12" s="17" t="s">
        <v>38</v>
      </c>
      <c r="C12" s="18" t="s">
        <v>284</v>
      </c>
      <c r="D12" s="17" t="s">
        <v>40</v>
      </c>
      <c r="E12" s="19" t="s">
        <v>19</v>
      </c>
      <c r="F12" s="20" t="str">
        <f t="shared" si="2"/>
        <v>Código Tópico en Emergencia</v>
      </c>
      <c r="G12" s="8"/>
      <c r="H12" s="9"/>
      <c r="J12" s="21" t="s">
        <v>285</v>
      </c>
      <c r="K12" s="21" t="s">
        <v>284</v>
      </c>
      <c r="L12" s="14" t="str">
        <f t="shared" si="1"/>
        <v>Código Tópico en Emergencia</v>
      </c>
      <c r="M12" s="16" t="s">
        <v>286</v>
      </c>
      <c r="N12" s="16" t="s">
        <v>287</v>
      </c>
    </row>
    <row r="13" ht="15.75" customHeight="1">
      <c r="B13" s="17" t="s">
        <v>38</v>
      </c>
      <c r="C13" s="18" t="s">
        <v>288</v>
      </c>
      <c r="D13" s="17" t="s">
        <v>52</v>
      </c>
      <c r="E13" s="19" t="s">
        <v>19</v>
      </c>
      <c r="F13" s="20" t="str">
        <f t="shared" si="2"/>
        <v>Fecha de Ingreso</v>
      </c>
      <c r="G13" s="8"/>
      <c r="H13" s="9"/>
      <c r="J13" s="21" t="s">
        <v>289</v>
      </c>
      <c r="K13" s="21" t="s">
        <v>272</v>
      </c>
      <c r="L13" s="14" t="str">
        <f t="shared" si="1"/>
        <v>Número de Secuencia Movimiento</v>
      </c>
      <c r="M13" s="16" t="s">
        <v>290</v>
      </c>
      <c r="N13" s="16" t="s">
        <v>291</v>
      </c>
    </row>
    <row r="14" ht="15.75" customHeight="1">
      <c r="B14" s="17" t="s">
        <v>38</v>
      </c>
      <c r="C14" s="18" t="s">
        <v>292</v>
      </c>
      <c r="D14" s="17" t="s">
        <v>58</v>
      </c>
      <c r="E14" s="19" t="s">
        <v>19</v>
      </c>
      <c r="F14" s="20" t="str">
        <f t="shared" si="2"/>
        <v>Hora de Ingreso</v>
      </c>
      <c r="G14" s="8"/>
      <c r="H14" s="9"/>
      <c r="J14" s="21" t="s">
        <v>293</v>
      </c>
      <c r="K14" s="21" t="s">
        <v>294</v>
      </c>
      <c r="L14" s="14" t="str">
        <f t="shared" si="1"/>
        <v>Motivo de desercion emergencia</v>
      </c>
      <c r="M14" s="16" t="s">
        <v>295</v>
      </c>
      <c r="N14" s="16" t="s">
        <v>296</v>
      </c>
    </row>
    <row r="15" ht="15.75" customHeight="1">
      <c r="B15" s="17" t="s">
        <v>38</v>
      </c>
      <c r="C15" s="18" t="s">
        <v>267</v>
      </c>
      <c r="D15" s="17" t="s">
        <v>18</v>
      </c>
      <c r="E15" s="19" t="s">
        <v>19</v>
      </c>
      <c r="F15" s="20" t="str">
        <f t="shared" si="2"/>
        <v>Código Estado Permanencia en Emergencia</v>
      </c>
      <c r="G15" s="8"/>
      <c r="H15" s="9"/>
      <c r="J15" s="21" t="s">
        <v>141</v>
      </c>
      <c r="K15" s="21" t="s">
        <v>297</v>
      </c>
      <c r="L15" s="14" t="str">
        <f t="shared" si="1"/>
        <v>Fecha y Hora Modifica</v>
      </c>
      <c r="M15" s="16" t="s">
        <v>298</v>
      </c>
      <c r="N15" s="16" t="s">
        <v>299</v>
      </c>
    </row>
    <row r="16" ht="15.75" customHeight="1">
      <c r="B16" s="17" t="s">
        <v>38</v>
      </c>
      <c r="C16" s="18" t="s">
        <v>300</v>
      </c>
      <c r="D16" s="17" t="s">
        <v>40</v>
      </c>
      <c r="E16" s="19" t="s">
        <v>19</v>
      </c>
      <c r="F16" s="20" t="str">
        <f t="shared" si="2"/>
        <v>Código Area Hospitalaria (Transferencias)</v>
      </c>
      <c r="G16" s="8"/>
      <c r="H16" s="9"/>
      <c r="J16" s="21" t="s">
        <v>301</v>
      </c>
      <c r="K16" s="21" t="s">
        <v>292</v>
      </c>
      <c r="L16" s="14" t="str">
        <f t="shared" si="1"/>
        <v>Hora de Ingreso</v>
      </c>
      <c r="M16" s="16" t="s">
        <v>302</v>
      </c>
      <c r="N16" s="16" t="s">
        <v>303</v>
      </c>
    </row>
    <row r="17" ht="15.75" customHeight="1">
      <c r="B17" s="17" t="s">
        <v>38</v>
      </c>
      <c r="C17" s="18" t="s">
        <v>304</v>
      </c>
      <c r="D17" s="17" t="s">
        <v>40</v>
      </c>
      <c r="E17" s="19" t="s">
        <v>19</v>
      </c>
      <c r="F17" s="20" t="str">
        <f t="shared" si="2"/>
        <v>Código de la Emergencia (Transferencias)</v>
      </c>
      <c r="G17" s="8"/>
      <c r="H17" s="9"/>
      <c r="J17" s="21" t="s">
        <v>305</v>
      </c>
      <c r="K17" s="21" t="s">
        <v>288</v>
      </c>
      <c r="L17" s="14" t="str">
        <f t="shared" si="1"/>
        <v>Fecha de Ingreso</v>
      </c>
      <c r="M17" s="16" t="s">
        <v>306</v>
      </c>
      <c r="N17" s="16" t="s">
        <v>307</v>
      </c>
    </row>
    <row r="18" ht="15.75" customHeight="1">
      <c r="B18" s="17" t="s">
        <v>38</v>
      </c>
      <c r="C18" s="18" t="s">
        <v>281</v>
      </c>
      <c r="D18" s="17" t="s">
        <v>40</v>
      </c>
      <c r="E18" s="19" t="s">
        <v>19</v>
      </c>
      <c r="F18" s="20" t="str">
        <f t="shared" si="2"/>
        <v>Código Tópico Destino en Emergencia (Transferencias)</v>
      </c>
      <c r="G18" s="8"/>
      <c r="H18" s="9"/>
      <c r="J18" s="21" t="s">
        <v>308</v>
      </c>
      <c r="K18" s="21" t="s">
        <v>309</v>
      </c>
      <c r="L18" s="14" t="str">
        <f t="shared" si="1"/>
        <v>Glosa</v>
      </c>
      <c r="M18" s="16" t="s">
        <v>310</v>
      </c>
      <c r="N18" s="16" t="s">
        <v>311</v>
      </c>
    </row>
    <row r="19" ht="15.75" customHeight="1">
      <c r="B19" s="17" t="s">
        <v>38</v>
      </c>
      <c r="C19" s="18" t="s">
        <v>312</v>
      </c>
      <c r="D19" s="17" t="s">
        <v>52</v>
      </c>
      <c r="E19" s="19" t="s">
        <v>19</v>
      </c>
      <c r="F19" s="20" t="str">
        <f t="shared" si="2"/>
        <v>Fecha de Egreso</v>
      </c>
      <c r="G19" s="8"/>
      <c r="H19" s="9"/>
      <c r="J19" s="21" t="s">
        <v>313</v>
      </c>
      <c r="K19" s="21" t="s">
        <v>304</v>
      </c>
      <c r="L19" s="14" t="str">
        <f t="shared" si="1"/>
        <v>Código de la Emergencia (Transferencias)</v>
      </c>
      <c r="M19" s="16" t="s">
        <v>314</v>
      </c>
      <c r="N19" s="16" t="s">
        <v>315</v>
      </c>
    </row>
    <row r="20" ht="15.75" customHeight="1">
      <c r="B20" s="17" t="s">
        <v>38</v>
      </c>
      <c r="C20" s="18" t="s">
        <v>316</v>
      </c>
      <c r="D20" s="17" t="s">
        <v>58</v>
      </c>
      <c r="E20" s="19" t="s">
        <v>19</v>
      </c>
      <c r="F20" s="20" t="str">
        <f t="shared" si="2"/>
        <v>Hora de Egreso</v>
      </c>
      <c r="G20" s="8"/>
      <c r="H20" s="9"/>
      <c r="J20" s="21" t="s">
        <v>136</v>
      </c>
      <c r="K20" s="21" t="s">
        <v>279</v>
      </c>
      <c r="L20" s="14" t="str">
        <f t="shared" si="1"/>
        <v>Código de la Emergencia</v>
      </c>
      <c r="M20" s="16" t="s">
        <v>317</v>
      </c>
      <c r="N20" s="16" t="s">
        <v>112</v>
      </c>
    </row>
    <row r="21" ht="15.75" customHeight="1">
      <c r="B21" s="17" t="s">
        <v>38</v>
      </c>
      <c r="C21" s="18" t="s">
        <v>277</v>
      </c>
      <c r="D21" s="17" t="s">
        <v>114</v>
      </c>
      <c r="E21" s="19" t="s">
        <v>19</v>
      </c>
      <c r="F21" s="20" t="str">
        <f t="shared" si="2"/>
        <v>Código Usuario Registra</v>
      </c>
      <c r="G21" s="8"/>
      <c r="H21" s="9"/>
      <c r="J21" s="21" t="s">
        <v>318</v>
      </c>
      <c r="K21" s="21" t="s">
        <v>316</v>
      </c>
      <c r="L21" s="14" t="str">
        <f t="shared" si="1"/>
        <v>Hora de Egreso</v>
      </c>
      <c r="M21" s="16" t="s">
        <v>319</v>
      </c>
      <c r="N21" s="16" t="s">
        <v>119</v>
      </c>
    </row>
    <row r="22" ht="15.75" customHeight="1">
      <c r="B22" s="17" t="s">
        <v>38</v>
      </c>
      <c r="C22" s="18" t="s">
        <v>320</v>
      </c>
      <c r="D22" s="17" t="s">
        <v>52</v>
      </c>
      <c r="E22" s="19" t="s">
        <v>19</v>
      </c>
      <c r="F22" s="20" t="str">
        <f t="shared" si="2"/>
        <v>Fecha y Hora Registra</v>
      </c>
      <c r="G22" s="8"/>
      <c r="H22" s="9"/>
      <c r="J22" s="21" t="s">
        <v>321</v>
      </c>
      <c r="K22" s="21" t="s">
        <v>312</v>
      </c>
      <c r="L22" s="14" t="str">
        <f t="shared" si="1"/>
        <v>Fecha de Egreso</v>
      </c>
      <c r="M22" s="16" t="s">
        <v>322</v>
      </c>
      <c r="N22" s="16" t="s">
        <v>124</v>
      </c>
    </row>
    <row r="23" ht="15.75" customHeight="1">
      <c r="B23" s="17" t="s">
        <v>38</v>
      </c>
      <c r="C23" s="18" t="s">
        <v>274</v>
      </c>
      <c r="D23" s="17" t="s">
        <v>114</v>
      </c>
      <c r="E23" s="19" t="s">
        <v>19</v>
      </c>
      <c r="F23" s="20" t="str">
        <f t="shared" si="2"/>
        <v>Código Usuario Modifica</v>
      </c>
      <c r="G23" s="8"/>
      <c r="H23" s="9"/>
      <c r="J23" s="21" t="s">
        <v>115</v>
      </c>
      <c r="K23" s="21" t="s">
        <v>320</v>
      </c>
      <c r="L23" s="14" t="str">
        <f t="shared" si="1"/>
        <v>Fecha y Hora Registra</v>
      </c>
      <c r="M23" s="16" t="s">
        <v>323</v>
      </c>
      <c r="N23" s="16" t="s">
        <v>129</v>
      </c>
    </row>
    <row r="24" ht="15.75" customHeight="1">
      <c r="B24" s="17" t="s">
        <v>38</v>
      </c>
      <c r="C24" s="18" t="s">
        <v>297</v>
      </c>
      <c r="D24" s="17" t="s">
        <v>52</v>
      </c>
      <c r="E24" s="19" t="s">
        <v>19</v>
      </c>
      <c r="F24" s="20" t="str">
        <f t="shared" si="2"/>
        <v>Fecha y Hora Modifica</v>
      </c>
      <c r="G24" s="8"/>
      <c r="H24" s="9"/>
      <c r="J24" s="21" t="s">
        <v>324</v>
      </c>
      <c r="K24" s="21" t="s">
        <v>325</v>
      </c>
      <c r="L24" s="14" t="str">
        <f t="shared" si="1"/>
        <v>Código de Cama(Solo Sala Observación)</v>
      </c>
      <c r="M24" s="16" t="s">
        <v>326</v>
      </c>
      <c r="N24" s="16" t="s">
        <v>327</v>
      </c>
    </row>
    <row r="25" ht="15.75" customHeight="1">
      <c r="B25" s="17" t="s">
        <v>38</v>
      </c>
      <c r="C25" s="18" t="s">
        <v>328</v>
      </c>
      <c r="D25" s="17" t="s">
        <v>18</v>
      </c>
      <c r="E25" s="19" t="s">
        <v>19</v>
      </c>
      <c r="F25" s="20" t="str">
        <f t="shared" si="2"/>
        <v>¿Con Atención Médica?</v>
      </c>
      <c r="G25" s="8"/>
      <c r="H25" s="9"/>
      <c r="J25" s="21" t="s">
        <v>329</v>
      </c>
      <c r="K25" s="21" t="s">
        <v>328</v>
      </c>
      <c r="L25" s="14" t="str">
        <f t="shared" si="1"/>
        <v>¿Con Atención Médica?</v>
      </c>
      <c r="M25" s="16" t="s">
        <v>330</v>
      </c>
      <c r="N25" s="16" t="s">
        <v>331</v>
      </c>
    </row>
    <row r="26" ht="15.75" customHeight="1">
      <c r="B26" s="17" t="s">
        <v>38</v>
      </c>
      <c r="C26" s="18" t="s">
        <v>325</v>
      </c>
      <c r="D26" s="17" t="s">
        <v>332</v>
      </c>
      <c r="E26" s="19" t="s">
        <v>19</v>
      </c>
      <c r="F26" s="20" t="str">
        <f t="shared" si="2"/>
        <v>Código de Cama(Solo Sala Observación)</v>
      </c>
      <c r="G26" s="8"/>
      <c r="H26" s="9"/>
      <c r="J26" s="21" t="s">
        <v>333</v>
      </c>
      <c r="K26" s="21" t="s">
        <v>300</v>
      </c>
      <c r="L26" s="14" t="str">
        <f t="shared" si="1"/>
        <v>Código Area Hospitalaria (Transferencias)</v>
      </c>
      <c r="M26" s="16" t="s">
        <v>334</v>
      </c>
      <c r="N26" s="16" t="s">
        <v>335</v>
      </c>
    </row>
    <row r="27" ht="15.75" customHeight="1">
      <c r="B27" s="17" t="s">
        <v>38</v>
      </c>
      <c r="C27" s="18" t="s">
        <v>309</v>
      </c>
      <c r="D27" s="17" t="s">
        <v>87</v>
      </c>
      <c r="E27" s="19" t="s">
        <v>19</v>
      </c>
      <c r="F27" s="20" t="str">
        <f t="shared" si="2"/>
        <v>Glosa</v>
      </c>
      <c r="G27" s="8"/>
      <c r="H27" s="9"/>
      <c r="J27" s="21" t="s">
        <v>70</v>
      </c>
      <c r="K27" s="21" t="s">
        <v>276</v>
      </c>
      <c r="L27" s="14" t="str">
        <f t="shared" si="1"/>
        <v>Código Area Hospitalaria</v>
      </c>
      <c r="M27" s="16" t="s">
        <v>336</v>
      </c>
      <c r="N27" s="16" t="s">
        <v>337</v>
      </c>
    </row>
    <row r="28" ht="15.75" customHeight="1">
      <c r="B28" s="17" t="s">
        <v>38</v>
      </c>
      <c r="C28" s="18" t="s">
        <v>294</v>
      </c>
      <c r="D28" s="17" t="s">
        <v>18</v>
      </c>
      <c r="E28" s="19" t="s">
        <v>19</v>
      </c>
      <c r="F28" s="20" t="str">
        <f t="shared" si="2"/>
        <v>Motivo de desercion emergencia</v>
      </c>
      <c r="G28" s="8"/>
      <c r="H28" s="9"/>
      <c r="J28" s="21" t="s">
        <v>35</v>
      </c>
      <c r="K28" s="21" t="s">
        <v>225</v>
      </c>
      <c r="L28" s="21" t="s">
        <v>209</v>
      </c>
      <c r="M28" s="16" t="s">
        <v>338</v>
      </c>
      <c r="N28" s="16" t="s">
        <v>224</v>
      </c>
    </row>
    <row r="29" ht="15.75" customHeight="1">
      <c r="D29" s="1"/>
      <c r="J29" s="21" t="s">
        <v>43</v>
      </c>
      <c r="K29" s="21" t="s">
        <v>225</v>
      </c>
      <c r="L29" s="21" t="s">
        <v>339</v>
      </c>
      <c r="M29" s="22" t="s">
        <v>340</v>
      </c>
      <c r="N29" s="16" t="s">
        <v>341</v>
      </c>
    </row>
    <row r="30" ht="15.75" customHeight="1">
      <c r="D30" s="1"/>
      <c r="J30" s="21" t="s">
        <v>29</v>
      </c>
      <c r="K30" s="21" t="s">
        <v>208</v>
      </c>
      <c r="L30" s="21" t="s">
        <v>342</v>
      </c>
      <c r="M30" s="22" t="s">
        <v>343</v>
      </c>
      <c r="N30" s="16" t="s">
        <v>344</v>
      </c>
    </row>
    <row r="31" ht="15.75" customHeight="1">
      <c r="D31" s="1"/>
      <c r="J31" s="21" t="s">
        <v>221</v>
      </c>
      <c r="K31" s="21" t="s">
        <v>222</v>
      </c>
      <c r="L31" s="14" t="str">
        <f t="shared" ref="L31:L36" si="3">VLOOKUP(K31,$M$5:$N$31,2,0)</f>
        <v>#N/A</v>
      </c>
      <c r="M31" s="22" t="s">
        <v>345</v>
      </c>
      <c r="N31" s="16" t="s">
        <v>346</v>
      </c>
    </row>
    <row r="32" ht="15.75" customHeight="1">
      <c r="D32" s="1"/>
      <c r="J32" s="21" t="s">
        <v>347</v>
      </c>
      <c r="K32" s="21" t="s">
        <v>348</v>
      </c>
      <c r="L32" s="14" t="str">
        <f t="shared" si="3"/>
        <v>#N/A</v>
      </c>
    </row>
    <row r="33" ht="15.75" customHeight="1">
      <c r="D33" s="1"/>
      <c r="J33" s="21" t="s">
        <v>349</v>
      </c>
      <c r="K33" s="21" t="s">
        <v>350</v>
      </c>
      <c r="L33" s="14" t="str">
        <f t="shared" si="3"/>
        <v>#N/A</v>
      </c>
    </row>
    <row r="34" ht="15.75" customHeight="1">
      <c r="D34" s="1"/>
      <c r="J34" s="21" t="s">
        <v>351</v>
      </c>
      <c r="K34" s="21" t="s">
        <v>352</v>
      </c>
      <c r="L34" s="14" t="str">
        <f t="shared" si="3"/>
        <v>#N/A</v>
      </c>
    </row>
    <row r="35" ht="15.75" customHeight="1">
      <c r="D35" s="1"/>
      <c r="J35" s="21" t="s">
        <v>353</v>
      </c>
      <c r="K35" s="21" t="s">
        <v>222</v>
      </c>
      <c r="L35" s="14" t="str">
        <f t="shared" si="3"/>
        <v>#N/A</v>
      </c>
    </row>
    <row r="36" ht="15.75" customHeight="1">
      <c r="D36" s="1"/>
      <c r="J36" s="21" t="s">
        <v>354</v>
      </c>
      <c r="K36" s="21" t="s">
        <v>348</v>
      </c>
      <c r="L36" s="14" t="str">
        <f t="shared" si="3"/>
        <v>#N/A</v>
      </c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</sheetData>
  <mergeCells count="27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25:H25"/>
    <mergeCell ref="F26:H26"/>
    <mergeCell ref="F27:H27"/>
    <mergeCell ref="F28:H28"/>
    <mergeCell ref="F29:H29"/>
    <mergeCell ref="F30:H30"/>
    <mergeCell ref="F18:H18"/>
    <mergeCell ref="F19:H19"/>
    <mergeCell ref="F20:H20"/>
    <mergeCell ref="F21:H21"/>
    <mergeCell ref="F22:H22"/>
    <mergeCell ref="F23:H23"/>
    <mergeCell ref="F24:H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  <col customWidth="1" min="13" max="13" width="16.25"/>
  </cols>
  <sheetData>
    <row r="1" ht="15.75" customHeight="1">
      <c r="D1" s="1"/>
    </row>
    <row r="2" ht="15.75" customHeight="1">
      <c r="D2" s="1"/>
      <c r="J2" s="23" t="s">
        <v>355</v>
      </c>
    </row>
    <row r="3" ht="15.75" customHeight="1">
      <c r="B3" s="2" t="s">
        <v>0</v>
      </c>
      <c r="C3" s="3" t="s">
        <v>356</v>
      </c>
      <c r="D3" s="4"/>
      <c r="E3" s="5"/>
      <c r="F3" s="5"/>
      <c r="G3" s="5"/>
      <c r="H3" s="6"/>
    </row>
    <row r="4" ht="15.75" customHeight="1">
      <c r="B4" s="7" t="s">
        <v>357</v>
      </c>
      <c r="C4" s="8"/>
      <c r="D4" s="8"/>
      <c r="E4" s="8"/>
      <c r="F4" s="8"/>
      <c r="G4" s="8"/>
      <c r="H4" s="9"/>
      <c r="J4" s="10" t="s">
        <v>3</v>
      </c>
      <c r="K4" s="10" t="s">
        <v>4</v>
      </c>
      <c r="L4" s="10" t="s">
        <v>5</v>
      </c>
    </row>
    <row r="5" ht="15.75" customHeight="1"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8"/>
      <c r="H5" s="9"/>
      <c r="J5" s="24" t="s">
        <v>13</v>
      </c>
      <c r="K5" s="24" t="s">
        <v>358</v>
      </c>
      <c r="L5" s="14" t="str">
        <f>VLOOKUP(K5,$M$5:$N$55,2,0)</f>
        <v>Código Origen Centro Asistencial</v>
      </c>
      <c r="M5" s="25" t="s">
        <v>359</v>
      </c>
      <c r="N5" s="25" t="s">
        <v>15</v>
      </c>
    </row>
    <row r="6" ht="15.75" customHeight="1">
      <c r="B6" s="17" t="s">
        <v>268</v>
      </c>
      <c r="C6" s="18" t="s">
        <v>358</v>
      </c>
      <c r="D6" s="17" t="s">
        <v>18</v>
      </c>
      <c r="E6" s="19" t="s">
        <v>19</v>
      </c>
      <c r="F6" s="20" t="str">
        <f t="shared" ref="F6:F56" si="1">VLOOKUP(C6,$K$4:$L$75,2,0)</f>
        <v>Código Origen Centro Asistencial</v>
      </c>
      <c r="G6" s="8"/>
      <c r="H6" s="9"/>
      <c r="J6" s="24" t="s">
        <v>35</v>
      </c>
      <c r="K6" s="24" t="s">
        <v>360</v>
      </c>
      <c r="L6" s="21" t="s">
        <v>209</v>
      </c>
      <c r="M6" s="25" t="s">
        <v>361</v>
      </c>
      <c r="N6" s="25" t="s">
        <v>24</v>
      </c>
    </row>
    <row r="7" ht="15.75" customHeight="1">
      <c r="B7" s="17" t="s">
        <v>268</v>
      </c>
      <c r="C7" s="18" t="s">
        <v>362</v>
      </c>
      <c r="D7" s="17" t="s">
        <v>26</v>
      </c>
      <c r="E7" s="19" t="s">
        <v>19</v>
      </c>
      <c r="F7" s="20" t="str">
        <f t="shared" si="1"/>
        <v>Código Centro Asistencial</v>
      </c>
      <c r="G7" s="8"/>
      <c r="H7" s="9"/>
      <c r="J7" s="24" t="s">
        <v>43</v>
      </c>
      <c r="K7" s="24" t="s">
        <v>360</v>
      </c>
      <c r="L7" s="21" t="s">
        <v>339</v>
      </c>
      <c r="M7" s="25" t="s">
        <v>363</v>
      </c>
      <c r="N7" s="25" t="s">
        <v>364</v>
      </c>
    </row>
    <row r="8" ht="15.75" customHeight="1">
      <c r="B8" s="17" t="s">
        <v>268</v>
      </c>
      <c r="C8" s="18" t="s">
        <v>365</v>
      </c>
      <c r="D8" s="17" t="s">
        <v>40</v>
      </c>
      <c r="E8" s="19" t="s">
        <v>19</v>
      </c>
      <c r="F8" s="20" t="str">
        <f t="shared" si="1"/>
        <v>Códigio Area Hospitalaria</v>
      </c>
      <c r="G8" s="8"/>
      <c r="H8" s="9"/>
      <c r="J8" s="24" t="s">
        <v>22</v>
      </c>
      <c r="K8" s="24" t="s">
        <v>362</v>
      </c>
      <c r="L8" s="14" t="str">
        <f>VLOOKUP(K8,$M$5:$N$55,2,0)</f>
        <v>Código Centro Asistencial</v>
      </c>
      <c r="M8" s="25" t="s">
        <v>366</v>
      </c>
      <c r="N8" s="25" t="s">
        <v>45</v>
      </c>
    </row>
    <row r="9" ht="15.75" customHeight="1">
      <c r="B9" s="17" t="s">
        <v>268</v>
      </c>
      <c r="C9" s="18" t="s">
        <v>367</v>
      </c>
      <c r="D9" s="17" t="s">
        <v>40</v>
      </c>
      <c r="E9" s="19" t="s">
        <v>19</v>
      </c>
      <c r="F9" s="20" t="str">
        <f t="shared" si="1"/>
        <v>Código de la Emergencia</v>
      </c>
      <c r="G9" s="8"/>
      <c r="H9" s="9"/>
      <c r="J9" s="24" t="s">
        <v>29</v>
      </c>
      <c r="K9" s="24" t="s">
        <v>360</v>
      </c>
      <c r="L9" s="21" t="s">
        <v>342</v>
      </c>
      <c r="M9" s="25" t="s">
        <v>368</v>
      </c>
      <c r="N9" s="25" t="s">
        <v>369</v>
      </c>
    </row>
    <row r="10" ht="15.75" customHeight="1">
      <c r="B10" s="17" t="s">
        <v>268</v>
      </c>
      <c r="C10" s="18" t="s">
        <v>370</v>
      </c>
      <c r="D10" s="17" t="s">
        <v>173</v>
      </c>
      <c r="E10" s="19" t="s">
        <v>19</v>
      </c>
      <c r="F10" s="20" t="str">
        <f t="shared" si="1"/>
        <v>Año de la Atención</v>
      </c>
      <c r="G10" s="8"/>
      <c r="H10" s="9"/>
      <c r="J10" s="24" t="s">
        <v>70</v>
      </c>
      <c r="K10" s="24" t="s">
        <v>365</v>
      </c>
      <c r="L10" s="14" t="str">
        <f t="shared" ref="L10:L11" si="2">VLOOKUP(K10,$M$5:$N$55,2,0)</f>
        <v>Códigio Area Hospitalaria</v>
      </c>
      <c r="M10" s="25" t="s">
        <v>371</v>
      </c>
      <c r="N10" s="25" t="s">
        <v>372</v>
      </c>
    </row>
    <row r="11" ht="15.75" customHeight="1">
      <c r="B11" s="17" t="s">
        <v>268</v>
      </c>
      <c r="C11" s="18" t="s">
        <v>373</v>
      </c>
      <c r="D11" s="17" t="s">
        <v>374</v>
      </c>
      <c r="E11" s="19" t="s">
        <v>19</v>
      </c>
      <c r="F11" s="20" t="str">
        <f t="shared" si="1"/>
        <v>Número de la Atención</v>
      </c>
      <c r="G11" s="8"/>
      <c r="H11" s="9"/>
      <c r="J11" s="24" t="s">
        <v>136</v>
      </c>
      <c r="K11" s="24" t="s">
        <v>367</v>
      </c>
      <c r="L11" s="14" t="str">
        <f t="shared" si="2"/>
        <v>Código de la Emergencia</v>
      </c>
      <c r="M11" s="25" t="s">
        <v>375</v>
      </c>
      <c r="N11" s="25" t="s">
        <v>376</v>
      </c>
    </row>
    <row r="12" ht="15.75" customHeight="1">
      <c r="B12" s="17" t="s">
        <v>38</v>
      </c>
      <c r="C12" s="18" t="s">
        <v>377</v>
      </c>
      <c r="D12" s="17" t="s">
        <v>378</v>
      </c>
      <c r="E12" s="19" t="s">
        <v>19</v>
      </c>
      <c r="F12" s="20" t="str">
        <f t="shared" si="1"/>
        <v>Fecha de Atención</v>
      </c>
      <c r="G12" s="8"/>
      <c r="H12" s="9"/>
      <c r="J12" s="24" t="s">
        <v>221</v>
      </c>
      <c r="K12" s="24" t="s">
        <v>222</v>
      </c>
      <c r="L12" s="14" t="str">
        <f>CONCAT("Descripción de ",L11)</f>
        <v>Descripción de Código de la Emergencia</v>
      </c>
      <c r="M12" s="25" t="s">
        <v>379</v>
      </c>
      <c r="N12" s="25" t="s">
        <v>380</v>
      </c>
    </row>
    <row r="13" ht="15.75" customHeight="1">
      <c r="B13" s="17" t="s">
        <v>38</v>
      </c>
      <c r="C13" s="18" t="s">
        <v>381</v>
      </c>
      <c r="D13" s="17" t="s">
        <v>58</v>
      </c>
      <c r="E13" s="19" t="s">
        <v>19</v>
      </c>
      <c r="F13" s="20" t="str">
        <f t="shared" si="1"/>
        <v>Hora de Atención</v>
      </c>
      <c r="G13" s="8"/>
      <c r="H13" s="9"/>
      <c r="J13" s="24" t="s">
        <v>382</v>
      </c>
      <c r="K13" s="24" t="s">
        <v>370</v>
      </c>
      <c r="L13" s="14" t="str">
        <f t="shared" ref="L13:L31" si="3">VLOOKUP(K13,$M$5:$N$55,2,0)</f>
        <v>Año de la Atención</v>
      </c>
      <c r="M13" s="25" t="s">
        <v>383</v>
      </c>
      <c r="N13" s="25" t="s">
        <v>384</v>
      </c>
    </row>
    <row r="14" ht="15.75" customHeight="1">
      <c r="B14" s="17" t="s">
        <v>38</v>
      </c>
      <c r="C14" s="18" t="s">
        <v>385</v>
      </c>
      <c r="D14" s="17" t="s">
        <v>18</v>
      </c>
      <c r="E14" s="19" t="s">
        <v>19</v>
      </c>
      <c r="F14" s="20" t="str">
        <f t="shared" si="1"/>
        <v>Código Tipo de Documento Identidad Paciente</v>
      </c>
      <c r="G14" s="8"/>
      <c r="H14" s="9"/>
      <c r="J14" s="24" t="s">
        <v>386</v>
      </c>
      <c r="K14" s="24" t="s">
        <v>373</v>
      </c>
      <c r="L14" s="14" t="str">
        <f t="shared" si="3"/>
        <v>Número de la Atención</v>
      </c>
      <c r="M14" s="25" t="s">
        <v>387</v>
      </c>
      <c r="N14" s="25" t="s">
        <v>388</v>
      </c>
    </row>
    <row r="15" ht="15.75" customHeight="1">
      <c r="B15" s="17" t="s">
        <v>38</v>
      </c>
      <c r="C15" s="18" t="s">
        <v>389</v>
      </c>
      <c r="D15" s="17" t="s">
        <v>390</v>
      </c>
      <c r="E15" s="19" t="s">
        <v>19</v>
      </c>
      <c r="F15" s="20" t="str">
        <f t="shared" si="1"/>
        <v>Número Documento Identidad Paciente</v>
      </c>
      <c r="G15" s="8"/>
      <c r="H15" s="9"/>
      <c r="J15" s="24" t="s">
        <v>391</v>
      </c>
      <c r="K15" s="24" t="s">
        <v>377</v>
      </c>
      <c r="L15" s="14" t="str">
        <f t="shared" si="3"/>
        <v>Fecha de Atención</v>
      </c>
      <c r="M15" s="25" t="s">
        <v>392</v>
      </c>
      <c r="N15" s="25" t="s">
        <v>393</v>
      </c>
    </row>
    <row r="16" ht="15.75" customHeight="1">
      <c r="B16" s="17" t="s">
        <v>38</v>
      </c>
      <c r="C16" s="18" t="s">
        <v>394</v>
      </c>
      <c r="D16" s="17" t="s">
        <v>395</v>
      </c>
      <c r="E16" s="19" t="s">
        <v>19</v>
      </c>
      <c r="F16" s="20" t="str">
        <f t="shared" si="1"/>
        <v>Apellido Paterno Paciente</v>
      </c>
      <c r="G16" s="8"/>
      <c r="H16" s="9"/>
      <c r="J16" s="24" t="s">
        <v>396</v>
      </c>
      <c r="K16" s="24" t="s">
        <v>381</v>
      </c>
      <c r="L16" s="14" t="str">
        <f t="shared" si="3"/>
        <v>Hora de Atención</v>
      </c>
      <c r="M16" s="25" t="s">
        <v>397</v>
      </c>
      <c r="N16" s="25" t="s">
        <v>398</v>
      </c>
    </row>
    <row r="17" ht="15.75" customHeight="1">
      <c r="B17" s="17" t="s">
        <v>38</v>
      </c>
      <c r="C17" s="18" t="s">
        <v>399</v>
      </c>
      <c r="D17" s="17" t="s">
        <v>395</v>
      </c>
      <c r="E17" s="19" t="s">
        <v>19</v>
      </c>
      <c r="F17" s="20" t="str">
        <f t="shared" si="1"/>
        <v>Apellido Materno Paciente</v>
      </c>
      <c r="G17" s="8"/>
      <c r="H17" s="9"/>
      <c r="J17" s="24" t="s">
        <v>400</v>
      </c>
      <c r="K17" s="24" t="s">
        <v>385</v>
      </c>
      <c r="L17" s="14" t="str">
        <f t="shared" si="3"/>
        <v>Código Tipo de Documento Identidad Paciente</v>
      </c>
      <c r="M17" s="25" t="s">
        <v>401</v>
      </c>
      <c r="N17" s="25" t="s">
        <v>402</v>
      </c>
    </row>
    <row r="18" ht="15.75" customHeight="1">
      <c r="B18" s="17" t="s">
        <v>38</v>
      </c>
      <c r="C18" s="18" t="s">
        <v>403</v>
      </c>
      <c r="D18" s="17" t="s">
        <v>404</v>
      </c>
      <c r="E18" s="19" t="s">
        <v>19</v>
      </c>
      <c r="F18" s="20" t="str">
        <f t="shared" si="1"/>
        <v>Primer Nombre Paciente</v>
      </c>
      <c r="G18" s="8"/>
      <c r="H18" s="9"/>
      <c r="J18" s="24" t="s">
        <v>71</v>
      </c>
      <c r="K18" s="24" t="s">
        <v>389</v>
      </c>
      <c r="L18" s="14" t="str">
        <f t="shared" si="3"/>
        <v>Número Documento Identidad Paciente</v>
      </c>
      <c r="M18" s="25" t="s">
        <v>405</v>
      </c>
      <c r="N18" s="25" t="s">
        <v>406</v>
      </c>
    </row>
    <row r="19" ht="15.75" customHeight="1">
      <c r="B19" s="17" t="s">
        <v>38</v>
      </c>
      <c r="C19" s="18" t="s">
        <v>407</v>
      </c>
      <c r="D19" s="17" t="s">
        <v>404</v>
      </c>
      <c r="E19" s="19" t="s">
        <v>19</v>
      </c>
      <c r="F19" s="20" t="str">
        <f t="shared" si="1"/>
        <v>Segundo Nombre Paciente</v>
      </c>
      <c r="G19" s="8"/>
      <c r="H19" s="9"/>
      <c r="J19" s="24" t="s">
        <v>408</v>
      </c>
      <c r="K19" s="24" t="s">
        <v>394</v>
      </c>
      <c r="L19" s="14" t="str">
        <f t="shared" si="3"/>
        <v>Apellido Paterno Paciente</v>
      </c>
      <c r="M19" s="25" t="s">
        <v>409</v>
      </c>
      <c r="N19" s="25" t="s">
        <v>410</v>
      </c>
    </row>
    <row r="20" ht="15.75" customHeight="1">
      <c r="B20" s="17" t="s">
        <v>38</v>
      </c>
      <c r="C20" s="18" t="s">
        <v>411</v>
      </c>
      <c r="D20" s="17" t="s">
        <v>412</v>
      </c>
      <c r="E20" s="19" t="s">
        <v>19</v>
      </c>
      <c r="F20" s="20" t="str">
        <f t="shared" si="1"/>
        <v>Presión Arterial Sistólica (mm Hg)</v>
      </c>
      <c r="G20" s="8"/>
      <c r="H20" s="9"/>
      <c r="J20" s="24" t="s">
        <v>413</v>
      </c>
      <c r="K20" s="24" t="s">
        <v>399</v>
      </c>
      <c r="L20" s="14" t="str">
        <f t="shared" si="3"/>
        <v>Apellido Materno Paciente</v>
      </c>
      <c r="M20" s="25" t="s">
        <v>414</v>
      </c>
      <c r="N20" s="25" t="s">
        <v>415</v>
      </c>
    </row>
    <row r="21" ht="15.75" customHeight="1">
      <c r="B21" s="17" t="s">
        <v>38</v>
      </c>
      <c r="C21" s="18" t="s">
        <v>416</v>
      </c>
      <c r="D21" s="17" t="s">
        <v>412</v>
      </c>
      <c r="E21" s="19" t="s">
        <v>19</v>
      </c>
      <c r="F21" s="20" t="str">
        <f t="shared" si="1"/>
        <v>Presión Arterial Diastólica (mm Hg)</v>
      </c>
      <c r="G21" s="8"/>
      <c r="H21" s="9"/>
      <c r="J21" s="24" t="s">
        <v>417</v>
      </c>
      <c r="K21" s="24" t="s">
        <v>403</v>
      </c>
      <c r="L21" s="14" t="str">
        <f t="shared" si="3"/>
        <v>Primer Nombre Paciente</v>
      </c>
      <c r="M21" s="25" t="s">
        <v>418</v>
      </c>
      <c r="N21" s="25" t="s">
        <v>419</v>
      </c>
    </row>
    <row r="22" ht="15.75" customHeight="1">
      <c r="B22" s="17" t="s">
        <v>38</v>
      </c>
      <c r="C22" s="18" t="s">
        <v>420</v>
      </c>
      <c r="D22" s="17" t="s">
        <v>412</v>
      </c>
      <c r="E22" s="19" t="s">
        <v>19</v>
      </c>
      <c r="F22" s="20" t="str">
        <f t="shared" si="1"/>
        <v>Frecuencia Cardiaca (Pulso - Latidos x Min)</v>
      </c>
      <c r="G22" s="8"/>
      <c r="H22" s="9"/>
      <c r="J22" s="24" t="s">
        <v>421</v>
      </c>
      <c r="K22" s="24" t="s">
        <v>407</v>
      </c>
      <c r="L22" s="14" t="str">
        <f t="shared" si="3"/>
        <v>Segundo Nombre Paciente</v>
      </c>
      <c r="M22" s="25" t="s">
        <v>422</v>
      </c>
      <c r="N22" s="25" t="s">
        <v>423</v>
      </c>
    </row>
    <row r="23" ht="15.75" customHeight="1">
      <c r="B23" s="17" t="s">
        <v>38</v>
      </c>
      <c r="C23" s="18" t="s">
        <v>424</v>
      </c>
      <c r="D23" s="17" t="s">
        <v>425</v>
      </c>
      <c r="E23" s="19" t="s">
        <v>19</v>
      </c>
      <c r="F23" s="20" t="str">
        <f t="shared" si="1"/>
        <v>Temperatura Corporal (°C)</v>
      </c>
      <c r="G23" s="8"/>
      <c r="H23" s="9"/>
      <c r="J23" s="24" t="s">
        <v>426</v>
      </c>
      <c r="K23" s="24" t="s">
        <v>411</v>
      </c>
      <c r="L23" s="14" t="str">
        <f t="shared" si="3"/>
        <v>Presión Arterial Sistólica (mm Hg)</v>
      </c>
      <c r="M23" s="25" t="s">
        <v>427</v>
      </c>
      <c r="N23" s="25" t="s">
        <v>428</v>
      </c>
    </row>
    <row r="24" ht="15.75" customHeight="1">
      <c r="B24" s="17" t="s">
        <v>38</v>
      </c>
      <c r="C24" s="18" t="s">
        <v>429</v>
      </c>
      <c r="D24" s="17" t="s">
        <v>412</v>
      </c>
      <c r="E24" s="19" t="s">
        <v>19</v>
      </c>
      <c r="F24" s="20" t="str">
        <f t="shared" si="1"/>
        <v>Frecuencia Respiratoria (Respiraciones x Min)</v>
      </c>
      <c r="G24" s="8"/>
      <c r="H24" s="9"/>
      <c r="J24" s="24" t="s">
        <v>430</v>
      </c>
      <c r="K24" s="24" t="s">
        <v>416</v>
      </c>
      <c r="L24" s="14" t="str">
        <f t="shared" si="3"/>
        <v>Presión Arterial Diastólica (mm Hg)</v>
      </c>
      <c r="M24" s="25" t="s">
        <v>431</v>
      </c>
      <c r="N24" s="25" t="s">
        <v>432</v>
      </c>
    </row>
    <row r="25" ht="15.75" customHeight="1">
      <c r="B25" s="17" t="s">
        <v>38</v>
      </c>
      <c r="C25" s="18" t="s">
        <v>433</v>
      </c>
      <c r="D25" s="17" t="s">
        <v>412</v>
      </c>
      <c r="E25" s="19" t="s">
        <v>19</v>
      </c>
      <c r="F25" s="20" t="str">
        <f t="shared" si="1"/>
        <v>Saturación de Oxígeno (%)</v>
      </c>
      <c r="G25" s="8"/>
      <c r="H25" s="9"/>
      <c r="J25" s="24" t="s">
        <v>434</v>
      </c>
      <c r="K25" s="24" t="s">
        <v>420</v>
      </c>
      <c r="L25" s="14" t="str">
        <f t="shared" si="3"/>
        <v>Frecuencia Cardiaca (Pulso - Latidos x Min)</v>
      </c>
      <c r="M25" s="25" t="s">
        <v>435</v>
      </c>
      <c r="N25" s="25" t="s">
        <v>436</v>
      </c>
    </row>
    <row r="26" ht="15.75" customHeight="1">
      <c r="B26" s="17" t="s">
        <v>38</v>
      </c>
      <c r="C26" s="18" t="s">
        <v>437</v>
      </c>
      <c r="D26" s="17" t="s">
        <v>438</v>
      </c>
      <c r="E26" s="19" t="s">
        <v>19</v>
      </c>
      <c r="F26" s="20" t="str">
        <f t="shared" si="1"/>
        <v>Valoración Estado de Conciencia (Escala de Glasgow)</v>
      </c>
      <c r="G26" s="8"/>
      <c r="H26" s="9"/>
      <c r="J26" s="24" t="s">
        <v>439</v>
      </c>
      <c r="K26" s="24" t="s">
        <v>424</v>
      </c>
      <c r="L26" s="14" t="str">
        <f t="shared" si="3"/>
        <v>Temperatura Corporal (°C)</v>
      </c>
      <c r="M26" s="25" t="s">
        <v>440</v>
      </c>
      <c r="N26" s="25" t="s">
        <v>441</v>
      </c>
    </row>
    <row r="27" ht="15.75" customHeight="1">
      <c r="B27" s="17" t="s">
        <v>38</v>
      </c>
      <c r="C27" s="18" t="s">
        <v>442</v>
      </c>
      <c r="D27" s="17" t="s">
        <v>443</v>
      </c>
      <c r="E27" s="19" t="s">
        <v>19</v>
      </c>
      <c r="F27" s="20" t="str">
        <f t="shared" si="1"/>
        <v>Sintomas y/o Signos Principales</v>
      </c>
      <c r="G27" s="8"/>
      <c r="H27" s="9"/>
      <c r="J27" s="24" t="s">
        <v>444</v>
      </c>
      <c r="K27" s="24" t="s">
        <v>429</v>
      </c>
      <c r="L27" s="14" t="str">
        <f t="shared" si="3"/>
        <v>Frecuencia Respiratoria (Respiraciones x Min)</v>
      </c>
      <c r="M27" s="25" t="s">
        <v>445</v>
      </c>
      <c r="N27" s="25" t="s">
        <v>446</v>
      </c>
    </row>
    <row r="28" ht="15.75" customHeight="1">
      <c r="B28" s="17" t="s">
        <v>38</v>
      </c>
      <c r="C28" s="18" t="s">
        <v>447</v>
      </c>
      <c r="D28" s="17" t="s">
        <v>18</v>
      </c>
      <c r="E28" s="19" t="s">
        <v>19</v>
      </c>
      <c r="F28" s="20" t="str">
        <f t="shared" si="1"/>
        <v>Prioridad Atención en Emergencia</v>
      </c>
      <c r="G28" s="8"/>
      <c r="H28" s="9"/>
      <c r="J28" s="24" t="s">
        <v>448</v>
      </c>
      <c r="K28" s="24" t="s">
        <v>433</v>
      </c>
      <c r="L28" s="14" t="str">
        <f t="shared" si="3"/>
        <v>Saturación de Oxígeno (%)</v>
      </c>
      <c r="M28" s="25" t="s">
        <v>449</v>
      </c>
      <c r="N28" s="25" t="s">
        <v>450</v>
      </c>
    </row>
    <row r="29" ht="15.75" customHeight="1">
      <c r="B29" s="17" t="s">
        <v>38</v>
      </c>
      <c r="C29" s="26" t="s">
        <v>451</v>
      </c>
      <c r="D29" s="27" t="s">
        <v>40</v>
      </c>
      <c r="E29" s="19" t="s">
        <v>19</v>
      </c>
      <c r="F29" s="20" t="str">
        <f t="shared" si="1"/>
        <v>Código Tópico Destino</v>
      </c>
      <c r="G29" s="8"/>
      <c r="H29" s="9"/>
      <c r="J29" s="24" t="s">
        <v>452</v>
      </c>
      <c r="K29" s="24" t="s">
        <v>437</v>
      </c>
      <c r="L29" s="14" t="str">
        <f t="shared" si="3"/>
        <v>Valoración Estado de Conciencia (Escala de Glasgow)</v>
      </c>
      <c r="M29" s="25" t="s">
        <v>453</v>
      </c>
      <c r="N29" s="25" t="s">
        <v>454</v>
      </c>
    </row>
    <row r="30" ht="15.75" customHeight="1">
      <c r="B30" s="17" t="s">
        <v>38</v>
      </c>
      <c r="C30" s="26" t="s">
        <v>455</v>
      </c>
      <c r="D30" s="27" t="s">
        <v>18</v>
      </c>
      <c r="E30" s="19" t="s">
        <v>19</v>
      </c>
      <c r="F30" s="20" t="str">
        <f t="shared" si="1"/>
        <v>Código Origen Centro Asistencal Profesional Atención</v>
      </c>
      <c r="G30" s="8"/>
      <c r="H30" s="9"/>
      <c r="J30" s="24" t="s">
        <v>456</v>
      </c>
      <c r="K30" s="24" t="s">
        <v>442</v>
      </c>
      <c r="L30" s="14" t="str">
        <f t="shared" si="3"/>
        <v>Sintomas y/o Signos Principales</v>
      </c>
      <c r="M30" s="25" t="s">
        <v>457</v>
      </c>
      <c r="N30" s="25" t="s">
        <v>458</v>
      </c>
    </row>
    <row r="31" ht="15.75" customHeight="1">
      <c r="B31" s="17" t="s">
        <v>38</v>
      </c>
      <c r="C31" s="26" t="s">
        <v>459</v>
      </c>
      <c r="D31" s="27" t="s">
        <v>26</v>
      </c>
      <c r="E31" s="19" t="s">
        <v>19</v>
      </c>
      <c r="F31" s="20" t="str">
        <f t="shared" si="1"/>
        <v>Código Centro Asistencial Profesional Atención</v>
      </c>
      <c r="G31" s="8"/>
      <c r="H31" s="9"/>
      <c r="J31" s="24" t="s">
        <v>460</v>
      </c>
      <c r="K31" s="24" t="s">
        <v>447</v>
      </c>
      <c r="L31" s="14" t="str">
        <f t="shared" si="3"/>
        <v>Prioridad Atención en Emergencia</v>
      </c>
      <c r="M31" s="25" t="s">
        <v>461</v>
      </c>
      <c r="N31" s="25" t="s">
        <v>462</v>
      </c>
    </row>
    <row r="32" ht="15.75" customHeight="1">
      <c r="B32" s="17" t="s">
        <v>38</v>
      </c>
      <c r="C32" s="26" t="s">
        <v>463</v>
      </c>
      <c r="D32" s="27" t="s">
        <v>40</v>
      </c>
      <c r="E32" s="19" t="s">
        <v>19</v>
      </c>
      <c r="F32" s="20" t="str">
        <f t="shared" si="1"/>
        <v>Código Area Hospitalaria Profesional Atención</v>
      </c>
      <c r="G32" s="8"/>
      <c r="H32" s="9"/>
      <c r="J32" s="21" t="s">
        <v>464</v>
      </c>
      <c r="K32" s="21" t="s">
        <v>465</v>
      </c>
      <c r="L32" s="14" t="str">
        <f>CONCAT("Descripción de ",L31)</f>
        <v>Descripción de Prioridad Atención en Emergencia</v>
      </c>
      <c r="M32" s="25" t="s">
        <v>466</v>
      </c>
      <c r="N32" s="25" t="s">
        <v>467</v>
      </c>
    </row>
    <row r="33" ht="15.75" customHeight="1">
      <c r="B33" s="17" t="s">
        <v>38</v>
      </c>
      <c r="C33" s="26" t="s">
        <v>468</v>
      </c>
      <c r="D33" s="27" t="s">
        <v>26</v>
      </c>
      <c r="E33" s="19" t="s">
        <v>19</v>
      </c>
      <c r="F33" s="20" t="str">
        <f t="shared" si="1"/>
        <v>Código Servicio Hospitalario Profesional Atención</v>
      </c>
      <c r="G33" s="8"/>
      <c r="H33" s="9"/>
      <c r="J33" s="21" t="s">
        <v>469</v>
      </c>
      <c r="K33" s="21" t="s">
        <v>451</v>
      </c>
      <c r="L33" s="14" t="str">
        <f>VLOOKUP(K33,$M$5:$N$55,2,0)</f>
        <v>Código Tópico Destino</v>
      </c>
      <c r="M33" s="25" t="s">
        <v>470</v>
      </c>
      <c r="N33" s="25" t="s">
        <v>471</v>
      </c>
    </row>
    <row r="34" ht="15.75" customHeight="1">
      <c r="B34" s="17" t="s">
        <v>38</v>
      </c>
      <c r="C34" s="26" t="s">
        <v>472</v>
      </c>
      <c r="D34" s="27" t="s">
        <v>40</v>
      </c>
      <c r="E34" s="19" t="s">
        <v>19</v>
      </c>
      <c r="F34" s="20" t="str">
        <f t="shared" si="1"/>
        <v>Código Actividad Profesional Atención</v>
      </c>
      <c r="G34" s="8"/>
      <c r="H34" s="9"/>
      <c r="J34" s="21" t="s">
        <v>347</v>
      </c>
      <c r="K34" s="21" t="s">
        <v>348</v>
      </c>
      <c r="L34" s="14" t="str">
        <f>CONCAT("Descripción de ",L33)</f>
        <v>Descripción de Código Tópico Destino</v>
      </c>
      <c r="M34" s="25" t="s">
        <v>473</v>
      </c>
      <c r="N34" s="25" t="s">
        <v>474</v>
      </c>
    </row>
    <row r="35" ht="15.75" customHeight="1">
      <c r="B35" s="17" t="s">
        <v>38</v>
      </c>
      <c r="C35" s="26" t="s">
        <v>475</v>
      </c>
      <c r="D35" s="27" t="s">
        <v>18</v>
      </c>
      <c r="E35" s="19" t="s">
        <v>19</v>
      </c>
      <c r="F35" s="20" t="str">
        <f t="shared" si="1"/>
        <v>Código Tipo Documento Identidad Profesional Atención</v>
      </c>
      <c r="G35" s="8"/>
      <c r="H35" s="9"/>
      <c r="J35" s="21" t="s">
        <v>476</v>
      </c>
      <c r="K35" s="21" t="s">
        <v>455</v>
      </c>
      <c r="L35" s="14" t="str">
        <f t="shared" ref="L35:L38" si="4">VLOOKUP(K35,$M$5:$N$55,2,0)</f>
        <v>Código Origen Centro Asistencal Profesional Atención</v>
      </c>
      <c r="M35" s="25" t="s">
        <v>477</v>
      </c>
      <c r="N35" s="25" t="s">
        <v>478</v>
      </c>
    </row>
    <row r="36" ht="15.75" customHeight="1">
      <c r="B36" s="17" t="s">
        <v>38</v>
      </c>
      <c r="C36" s="26" t="s">
        <v>479</v>
      </c>
      <c r="D36" s="27" t="s">
        <v>114</v>
      </c>
      <c r="E36" s="19" t="s">
        <v>19</v>
      </c>
      <c r="F36" s="20" t="str">
        <f t="shared" si="1"/>
        <v>Número Documento Identidad Profesional Atención</v>
      </c>
      <c r="G36" s="8"/>
      <c r="H36" s="9"/>
      <c r="J36" s="21" t="s">
        <v>480</v>
      </c>
      <c r="K36" s="21" t="s">
        <v>459</v>
      </c>
      <c r="L36" s="14" t="str">
        <f t="shared" si="4"/>
        <v>Código Centro Asistencial Profesional Atención</v>
      </c>
      <c r="M36" s="25" t="s">
        <v>481</v>
      </c>
      <c r="N36" s="25" t="s">
        <v>482</v>
      </c>
    </row>
    <row r="37" ht="15.75" customHeight="1">
      <c r="B37" s="17" t="s">
        <v>38</v>
      </c>
      <c r="C37" s="26" t="s">
        <v>483</v>
      </c>
      <c r="D37" s="27" t="s">
        <v>18</v>
      </c>
      <c r="E37" s="19" t="s">
        <v>19</v>
      </c>
      <c r="F37" s="20" t="str">
        <f t="shared" si="1"/>
        <v>Código Estado del Registro</v>
      </c>
      <c r="G37" s="8"/>
      <c r="H37" s="9"/>
      <c r="J37" s="21" t="s">
        <v>484</v>
      </c>
      <c r="K37" s="21" t="s">
        <v>463</v>
      </c>
      <c r="L37" s="14" t="str">
        <f t="shared" si="4"/>
        <v>Código Area Hospitalaria Profesional Atención</v>
      </c>
      <c r="M37" s="25" t="s">
        <v>485</v>
      </c>
      <c r="N37" s="25" t="s">
        <v>112</v>
      </c>
    </row>
    <row r="38" ht="15.75" customHeight="1">
      <c r="B38" s="17" t="s">
        <v>38</v>
      </c>
      <c r="C38" s="26" t="s">
        <v>486</v>
      </c>
      <c r="D38" s="27" t="s">
        <v>114</v>
      </c>
      <c r="E38" s="19" t="s">
        <v>19</v>
      </c>
      <c r="F38" s="20" t="str">
        <f t="shared" si="1"/>
        <v>Código Usuario Registra</v>
      </c>
      <c r="G38" s="8"/>
      <c r="H38" s="9"/>
      <c r="J38" s="21" t="s">
        <v>487</v>
      </c>
      <c r="K38" s="21" t="s">
        <v>468</v>
      </c>
      <c r="L38" s="14" t="str">
        <f t="shared" si="4"/>
        <v>Código Servicio Hospitalario Profesional Atención</v>
      </c>
      <c r="M38" s="25" t="s">
        <v>488</v>
      </c>
      <c r="N38" s="25" t="s">
        <v>119</v>
      </c>
    </row>
    <row r="39" ht="15.75" customHeight="1">
      <c r="B39" s="17" t="s">
        <v>38</v>
      </c>
      <c r="C39" s="26" t="s">
        <v>489</v>
      </c>
      <c r="D39" s="27" t="s">
        <v>378</v>
      </c>
      <c r="E39" s="19" t="s">
        <v>19</v>
      </c>
      <c r="F39" s="20" t="str">
        <f t="shared" si="1"/>
        <v>Fecha y Hora Registra</v>
      </c>
      <c r="G39" s="8"/>
      <c r="H39" s="9"/>
      <c r="J39" s="21" t="s">
        <v>181</v>
      </c>
      <c r="K39" s="21" t="s">
        <v>490</v>
      </c>
      <c r="L39" s="14" t="str">
        <f>CONCAT("Descripción de ",L38)</f>
        <v>Descripción de Código Servicio Hospitalario Profesional Atención</v>
      </c>
      <c r="M39" s="25" t="s">
        <v>491</v>
      </c>
      <c r="N39" s="25" t="s">
        <v>124</v>
      </c>
    </row>
    <row r="40" ht="15.75" customHeight="1">
      <c r="B40" s="17" t="s">
        <v>38</v>
      </c>
      <c r="C40" s="26" t="s">
        <v>492</v>
      </c>
      <c r="D40" s="27" t="s">
        <v>114</v>
      </c>
      <c r="E40" s="19" t="s">
        <v>19</v>
      </c>
      <c r="F40" s="20" t="str">
        <f t="shared" si="1"/>
        <v>Código Usuario Modifica</v>
      </c>
      <c r="G40" s="8"/>
      <c r="H40" s="9"/>
      <c r="J40" s="21" t="s">
        <v>493</v>
      </c>
      <c r="K40" s="21" t="s">
        <v>472</v>
      </c>
      <c r="L40" s="14" t="str">
        <f t="shared" ref="L40:L48" si="5">VLOOKUP(K40,$M$5:$N$55,2,0)</f>
        <v>Código Actividad Profesional Atención</v>
      </c>
      <c r="M40" s="25" t="s">
        <v>494</v>
      </c>
      <c r="N40" s="25" t="s">
        <v>129</v>
      </c>
    </row>
    <row r="41" ht="15.75" customHeight="1">
      <c r="B41" s="17" t="s">
        <v>38</v>
      </c>
      <c r="C41" s="26" t="s">
        <v>495</v>
      </c>
      <c r="D41" s="27" t="s">
        <v>378</v>
      </c>
      <c r="E41" s="19" t="s">
        <v>19</v>
      </c>
      <c r="F41" s="20" t="str">
        <f t="shared" si="1"/>
        <v>Fecha y Hora Modifica</v>
      </c>
      <c r="G41" s="8"/>
      <c r="H41" s="9"/>
      <c r="J41" s="21" t="s">
        <v>496</v>
      </c>
      <c r="K41" s="21" t="s">
        <v>475</v>
      </c>
      <c r="L41" s="14" t="str">
        <f t="shared" si="5"/>
        <v>Código Tipo Documento Identidad Profesional Atención</v>
      </c>
      <c r="M41" s="25" t="s">
        <v>497</v>
      </c>
      <c r="N41" s="25" t="s">
        <v>498</v>
      </c>
    </row>
    <row r="42" ht="15.75" customHeight="1">
      <c r="B42" s="17" t="s">
        <v>38</v>
      </c>
      <c r="C42" s="26" t="s">
        <v>499</v>
      </c>
      <c r="D42" s="27" t="s">
        <v>18</v>
      </c>
      <c r="E42" s="19" t="s">
        <v>19</v>
      </c>
      <c r="F42" s="20" t="str">
        <f t="shared" si="1"/>
        <v>Código Destino Atención Triaje</v>
      </c>
      <c r="G42" s="8"/>
      <c r="H42" s="9"/>
      <c r="J42" s="21" t="s">
        <v>500</v>
      </c>
      <c r="K42" s="21" t="s">
        <v>479</v>
      </c>
      <c r="L42" s="14" t="str">
        <f t="shared" si="5"/>
        <v>Número Documento Identidad Profesional Atención</v>
      </c>
      <c r="M42" s="25" t="s">
        <v>501</v>
      </c>
      <c r="N42" s="25" t="s">
        <v>85</v>
      </c>
    </row>
    <row r="43" ht="15.75" customHeight="1">
      <c r="B43" s="17" t="s">
        <v>38</v>
      </c>
      <c r="C43" s="26" t="s">
        <v>237</v>
      </c>
      <c r="D43" s="27" t="s">
        <v>87</v>
      </c>
      <c r="E43" s="19" t="s">
        <v>19</v>
      </c>
      <c r="F43" s="20" t="str">
        <f t="shared" si="1"/>
        <v>Observaciones</v>
      </c>
      <c r="G43" s="8"/>
      <c r="H43" s="9"/>
      <c r="J43" s="21" t="s">
        <v>117</v>
      </c>
      <c r="K43" s="21" t="s">
        <v>483</v>
      </c>
      <c r="L43" s="14" t="str">
        <f t="shared" si="5"/>
        <v>Código Estado del Registro</v>
      </c>
      <c r="M43" s="25" t="s">
        <v>502</v>
      </c>
      <c r="N43" s="25" t="s">
        <v>503</v>
      </c>
    </row>
    <row r="44" ht="15.75" customHeight="1">
      <c r="B44" s="17" t="s">
        <v>38</v>
      </c>
      <c r="C44" s="26" t="s">
        <v>239</v>
      </c>
      <c r="D44" s="27" t="s">
        <v>114</v>
      </c>
      <c r="E44" s="19" t="s">
        <v>19</v>
      </c>
      <c r="F44" s="20" t="str">
        <f t="shared" si="1"/>
        <v>Número de Teléfono de Referencia</v>
      </c>
      <c r="G44" s="8"/>
      <c r="H44" s="9"/>
      <c r="J44" s="21" t="s">
        <v>127</v>
      </c>
      <c r="K44" s="21" t="s">
        <v>486</v>
      </c>
      <c r="L44" s="14" t="str">
        <f t="shared" si="5"/>
        <v>Código Usuario Registra</v>
      </c>
      <c r="M44" s="25" t="s">
        <v>504</v>
      </c>
      <c r="N44" s="25" t="s">
        <v>505</v>
      </c>
    </row>
    <row r="45" ht="15.75" customHeight="1">
      <c r="B45" s="17" t="s">
        <v>38</v>
      </c>
      <c r="C45" s="26" t="s">
        <v>240</v>
      </c>
      <c r="D45" s="27" t="s">
        <v>374</v>
      </c>
      <c r="E45" s="19" t="s">
        <v>19</v>
      </c>
      <c r="F45" s="20" t="str">
        <f t="shared" si="1"/>
        <v>Número Secuencia Paciente (Cero si no existe en BD Aseguramiento)</v>
      </c>
      <c r="G45" s="8"/>
      <c r="H45" s="9"/>
      <c r="J45" s="21" t="s">
        <v>115</v>
      </c>
      <c r="K45" s="21" t="s">
        <v>489</v>
      </c>
      <c r="L45" s="14" t="str">
        <f t="shared" si="5"/>
        <v>Fecha y Hora Registra</v>
      </c>
      <c r="M45" s="25" t="s">
        <v>506</v>
      </c>
      <c r="N45" s="25" t="s">
        <v>507</v>
      </c>
    </row>
    <row r="46" ht="15.75" customHeight="1">
      <c r="B46" s="17" t="s">
        <v>38</v>
      </c>
      <c r="C46" s="26" t="s">
        <v>242</v>
      </c>
      <c r="D46" s="27" t="s">
        <v>18</v>
      </c>
      <c r="E46" s="19" t="s">
        <v>19</v>
      </c>
      <c r="F46" s="20" t="str">
        <f t="shared" si="1"/>
        <v>¿Admitido en Emergencia? (Solo si Destino es Emergencia) ** ELIMINAR **</v>
      </c>
      <c r="G46" s="8"/>
      <c r="H46" s="9"/>
      <c r="J46" s="21" t="s">
        <v>137</v>
      </c>
      <c r="K46" s="21" t="s">
        <v>492</v>
      </c>
      <c r="L46" s="14" t="str">
        <f t="shared" si="5"/>
        <v>Código Usuario Modifica</v>
      </c>
      <c r="M46" s="25" t="s">
        <v>508</v>
      </c>
      <c r="N46" s="25" t="s">
        <v>509</v>
      </c>
    </row>
    <row r="47" ht="15.75" customHeight="1">
      <c r="B47" s="17" t="s">
        <v>38</v>
      </c>
      <c r="C47" s="26" t="s">
        <v>246</v>
      </c>
      <c r="D47" s="27" t="s">
        <v>510</v>
      </c>
      <c r="E47" s="19" t="s">
        <v>19</v>
      </c>
      <c r="F47" s="20" t="str">
        <f t="shared" si="1"/>
        <v>Peso (Kg)</v>
      </c>
      <c r="G47" s="8"/>
      <c r="H47" s="9"/>
      <c r="J47" s="21" t="s">
        <v>141</v>
      </c>
      <c r="K47" s="21" t="s">
        <v>495</v>
      </c>
      <c r="L47" s="14" t="str">
        <f t="shared" si="5"/>
        <v>Fecha y Hora Modifica</v>
      </c>
      <c r="M47" s="25" t="s">
        <v>511</v>
      </c>
      <c r="N47" s="25" t="s">
        <v>512</v>
      </c>
    </row>
    <row r="48" ht="15.75" customHeight="1">
      <c r="B48" s="17" t="s">
        <v>38</v>
      </c>
      <c r="C48" s="26" t="s">
        <v>248</v>
      </c>
      <c r="D48" s="27" t="s">
        <v>378</v>
      </c>
      <c r="E48" s="19" t="s">
        <v>19</v>
      </c>
      <c r="F48" s="20" t="str">
        <f t="shared" si="1"/>
        <v>Fecha de Nacimiento Paciente</v>
      </c>
      <c r="G48" s="8"/>
      <c r="H48" s="9"/>
      <c r="J48" s="21" t="s">
        <v>513</v>
      </c>
      <c r="K48" s="21" t="s">
        <v>499</v>
      </c>
      <c r="L48" s="14" t="str">
        <f t="shared" si="5"/>
        <v>Código Destino Atención Triaje</v>
      </c>
      <c r="M48" s="25" t="s">
        <v>514</v>
      </c>
      <c r="N48" s="25" t="s">
        <v>515</v>
      </c>
    </row>
    <row r="49" ht="15.75" customHeight="1">
      <c r="B49" s="17" t="s">
        <v>38</v>
      </c>
      <c r="C49" s="26" t="s">
        <v>250</v>
      </c>
      <c r="D49" s="27" t="s">
        <v>18</v>
      </c>
      <c r="E49" s="19" t="s">
        <v>19</v>
      </c>
      <c r="F49" s="20" t="str">
        <f t="shared" si="1"/>
        <v>Código Sexo</v>
      </c>
      <c r="G49" s="8"/>
      <c r="H49" s="9"/>
      <c r="J49" s="21" t="s">
        <v>232</v>
      </c>
      <c r="K49" s="21" t="s">
        <v>233</v>
      </c>
      <c r="L49" s="14" t="str">
        <f>CONCAT("Descripción de ",L48)</f>
        <v>Descripción de Código Destino Atención Triaje</v>
      </c>
      <c r="M49" s="25" t="s">
        <v>516</v>
      </c>
      <c r="N49" s="25" t="s">
        <v>517</v>
      </c>
    </row>
    <row r="50" ht="15.75" customHeight="1">
      <c r="B50" s="17" t="s">
        <v>38</v>
      </c>
      <c r="C50" s="26" t="s">
        <v>252</v>
      </c>
      <c r="D50" s="27" t="s">
        <v>18</v>
      </c>
      <c r="E50" s="19" t="s">
        <v>19</v>
      </c>
      <c r="F50" s="20" t="str">
        <f t="shared" si="1"/>
        <v>Código Origen Centro Asistencial Destino</v>
      </c>
      <c r="G50" s="8"/>
      <c r="H50" s="9"/>
      <c r="J50" s="21" t="s">
        <v>236</v>
      </c>
      <c r="K50" s="21" t="s">
        <v>237</v>
      </c>
      <c r="L50" s="14" t="str">
        <f t="shared" ref="L50:L53" si="6">VLOOKUP(K50,$M$5:$N$55,2,0)</f>
        <v>Observaciones</v>
      </c>
      <c r="M50" s="25" t="s">
        <v>518</v>
      </c>
      <c r="N50" s="25" t="s">
        <v>519</v>
      </c>
    </row>
    <row r="51" ht="15.75" customHeight="1">
      <c r="B51" s="17" t="s">
        <v>38</v>
      </c>
      <c r="C51" s="26" t="s">
        <v>254</v>
      </c>
      <c r="D51" s="27" t="s">
        <v>26</v>
      </c>
      <c r="E51" s="19" t="s">
        <v>19</v>
      </c>
      <c r="F51" s="20" t="str">
        <f t="shared" si="1"/>
        <v>Código Centro Asistencial Destino</v>
      </c>
      <c r="G51" s="8"/>
      <c r="H51" s="9"/>
      <c r="J51" s="21" t="s">
        <v>238</v>
      </c>
      <c r="K51" s="21" t="s">
        <v>239</v>
      </c>
      <c r="L51" s="14" t="str">
        <f t="shared" si="6"/>
        <v>Número de Teléfono de Referencia</v>
      </c>
      <c r="M51" s="25" t="s">
        <v>520</v>
      </c>
      <c r="N51" s="25" t="s">
        <v>521</v>
      </c>
    </row>
    <row r="52" ht="15.75" customHeight="1">
      <c r="B52" s="17" t="s">
        <v>38</v>
      </c>
      <c r="C52" s="26" t="s">
        <v>256</v>
      </c>
      <c r="D52" s="27" t="s">
        <v>40</v>
      </c>
      <c r="E52" s="19" t="s">
        <v>19</v>
      </c>
      <c r="F52" s="20" t="str">
        <f t="shared" si="1"/>
        <v>Código Area Hospitalaria Destino</v>
      </c>
      <c r="G52" s="8"/>
      <c r="H52" s="9"/>
      <c r="J52" s="21" t="s">
        <v>160</v>
      </c>
      <c r="K52" s="21" t="s">
        <v>240</v>
      </c>
      <c r="L52" s="14" t="str">
        <f t="shared" si="6"/>
        <v>Número Secuencia Paciente (Cero si no existe en BD Aseguramiento)</v>
      </c>
      <c r="M52" s="25" t="s">
        <v>522</v>
      </c>
      <c r="N52" s="25" t="s">
        <v>523</v>
      </c>
    </row>
    <row r="53" ht="15.75" customHeight="1">
      <c r="B53" s="17" t="s">
        <v>38</v>
      </c>
      <c r="C53" s="26" t="s">
        <v>258</v>
      </c>
      <c r="D53" s="27" t="s">
        <v>40</v>
      </c>
      <c r="E53" s="19" t="s">
        <v>19</v>
      </c>
      <c r="F53" s="20" t="str">
        <f t="shared" si="1"/>
        <v>Código de la Emergencia Destino</v>
      </c>
      <c r="G53" s="8"/>
      <c r="H53" s="9"/>
      <c r="J53" s="21" t="s">
        <v>241</v>
      </c>
      <c r="K53" s="21" t="s">
        <v>242</v>
      </c>
      <c r="L53" s="14" t="str">
        <f t="shared" si="6"/>
        <v>¿Admitido en Emergencia? (Solo si Destino es Emergencia) ** ELIMINAR **</v>
      </c>
      <c r="M53" s="25" t="s">
        <v>524</v>
      </c>
      <c r="N53" s="25" t="s">
        <v>525</v>
      </c>
    </row>
    <row r="54" ht="15.75" customHeight="1">
      <c r="B54" s="17" t="s">
        <v>38</v>
      </c>
      <c r="C54" s="26" t="s">
        <v>259</v>
      </c>
      <c r="D54" s="27" t="s">
        <v>526</v>
      </c>
      <c r="E54" s="19" t="s">
        <v>19</v>
      </c>
      <c r="F54" s="20" t="str">
        <f t="shared" si="1"/>
        <v>Sospecha de COVID-19?</v>
      </c>
      <c r="G54" s="8"/>
      <c r="H54" s="9"/>
      <c r="J54" s="21" t="s">
        <v>243</v>
      </c>
      <c r="K54" s="21" t="s">
        <v>244</v>
      </c>
      <c r="L54" s="14" t="str">
        <f>CONCAT("Descripción de ",L53)</f>
        <v>Descripción de ¿Admitido en Emergencia? (Solo si Destino es Emergencia) ** ELIMINAR **</v>
      </c>
      <c r="M54" s="22" t="s">
        <v>527</v>
      </c>
      <c r="N54" s="25" t="s">
        <v>528</v>
      </c>
    </row>
    <row r="55" ht="15.75" customHeight="1">
      <c r="B55" s="17" t="s">
        <v>38</v>
      </c>
      <c r="C55" s="26" t="s">
        <v>261</v>
      </c>
      <c r="D55" s="27" t="s">
        <v>529</v>
      </c>
      <c r="E55" s="19" t="s">
        <v>19</v>
      </c>
      <c r="F55" s="20" t="str">
        <f t="shared" si="1"/>
        <v>Sin Información</v>
      </c>
      <c r="G55" s="8"/>
      <c r="H55" s="9"/>
      <c r="J55" s="21" t="s">
        <v>245</v>
      </c>
      <c r="K55" s="21" t="s">
        <v>246</v>
      </c>
      <c r="L55" s="14" t="str">
        <f t="shared" ref="L55:L62" si="7">VLOOKUP(K55,$M$5:$N$55,2,0)</f>
        <v>Peso (Kg)</v>
      </c>
      <c r="M55" s="22" t="s">
        <v>530</v>
      </c>
      <c r="N55" s="25" t="s">
        <v>531</v>
      </c>
    </row>
    <row r="56" ht="15.75" customHeight="1">
      <c r="B56" s="17" t="s">
        <v>38</v>
      </c>
      <c r="C56" s="26" t="s">
        <v>263</v>
      </c>
      <c r="D56" s="27" t="s">
        <v>40</v>
      </c>
      <c r="E56" s="19" t="s">
        <v>19</v>
      </c>
      <c r="F56" s="20" t="str">
        <f t="shared" si="1"/>
        <v>Sin Información</v>
      </c>
      <c r="G56" s="8"/>
      <c r="H56" s="9"/>
      <c r="J56" s="21" t="s">
        <v>247</v>
      </c>
      <c r="K56" s="21" t="s">
        <v>248</v>
      </c>
      <c r="L56" s="14" t="str">
        <f t="shared" si="7"/>
        <v>Fecha de Nacimiento Paciente</v>
      </c>
    </row>
    <row r="57" ht="15.75" customHeight="1">
      <c r="D57" s="1"/>
      <c r="J57" s="21" t="s">
        <v>249</v>
      </c>
      <c r="K57" s="21" t="s">
        <v>250</v>
      </c>
      <c r="L57" s="14" t="str">
        <f t="shared" si="7"/>
        <v>Código Sexo</v>
      </c>
    </row>
    <row r="58" ht="15.75" customHeight="1">
      <c r="D58" s="1"/>
      <c r="J58" s="21" t="s">
        <v>251</v>
      </c>
      <c r="K58" s="21" t="s">
        <v>252</v>
      </c>
      <c r="L58" s="14" t="str">
        <f t="shared" si="7"/>
        <v>Código Origen Centro Asistencial Destino</v>
      </c>
    </row>
    <row r="59" ht="15.75" customHeight="1">
      <c r="D59" s="1"/>
      <c r="J59" s="21" t="s">
        <v>253</v>
      </c>
      <c r="K59" s="21" t="s">
        <v>254</v>
      </c>
      <c r="L59" s="14" t="str">
        <f t="shared" si="7"/>
        <v>Código Centro Asistencial Destino</v>
      </c>
    </row>
    <row r="60" ht="15.75" customHeight="1">
      <c r="D60" s="1"/>
      <c r="J60" s="21" t="s">
        <v>255</v>
      </c>
      <c r="K60" s="21" t="s">
        <v>256</v>
      </c>
      <c r="L60" s="14" t="str">
        <f t="shared" si="7"/>
        <v>Código Area Hospitalaria Destino</v>
      </c>
    </row>
    <row r="61" ht="15.75" customHeight="1">
      <c r="D61" s="1"/>
      <c r="J61" s="21" t="s">
        <v>257</v>
      </c>
      <c r="K61" s="21" t="s">
        <v>258</v>
      </c>
      <c r="L61" s="14" t="str">
        <f t="shared" si="7"/>
        <v>Código de la Emergencia Destino</v>
      </c>
    </row>
    <row r="62" ht="15.75" customHeight="1">
      <c r="D62" s="1"/>
      <c r="J62" s="21" t="s">
        <v>179</v>
      </c>
      <c r="K62" s="21" t="s">
        <v>259</v>
      </c>
      <c r="L62" s="14" t="str">
        <f t="shared" si="7"/>
        <v>Sospecha de COVID-19?</v>
      </c>
    </row>
    <row r="63" ht="15.75" customHeight="1">
      <c r="D63" s="1"/>
      <c r="J63" s="21" t="s">
        <v>260</v>
      </c>
      <c r="K63" s="21" t="s">
        <v>261</v>
      </c>
      <c r="L63" s="21" t="s">
        <v>532</v>
      </c>
    </row>
    <row r="64" ht="15.75" customHeight="1">
      <c r="D64" s="1"/>
      <c r="J64" s="21" t="s">
        <v>262</v>
      </c>
      <c r="K64" s="21" t="s">
        <v>263</v>
      </c>
      <c r="L64" s="21" t="s">
        <v>532</v>
      </c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</sheetData>
  <mergeCells count="53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53:H53"/>
    <mergeCell ref="F54:H54"/>
    <mergeCell ref="F55:H55"/>
    <mergeCell ref="F56:H56"/>
    <mergeCell ref="F46:H46"/>
    <mergeCell ref="F47:H47"/>
    <mergeCell ref="F48:H48"/>
    <mergeCell ref="F49:H49"/>
    <mergeCell ref="F50:H50"/>
    <mergeCell ref="F51:H51"/>
    <mergeCell ref="F52:H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>
      <c r="J2" s="23"/>
    </row>
    <row r="3" ht="15.75" customHeight="1">
      <c r="B3" s="2" t="s">
        <v>0</v>
      </c>
      <c r="C3" s="3" t="s">
        <v>533</v>
      </c>
      <c r="D3" s="5"/>
      <c r="E3" s="5"/>
      <c r="F3" s="5"/>
      <c r="G3" s="5"/>
      <c r="H3" s="6"/>
    </row>
    <row r="4" ht="15.75" customHeight="1">
      <c r="B4" s="7" t="s">
        <v>534</v>
      </c>
      <c r="C4" s="8"/>
      <c r="D4" s="8"/>
      <c r="E4" s="8"/>
      <c r="F4" s="8"/>
      <c r="G4" s="8"/>
      <c r="H4" s="9"/>
      <c r="J4" s="10" t="s">
        <v>3</v>
      </c>
      <c r="K4" s="10" t="s">
        <v>4</v>
      </c>
      <c r="L4" s="10" t="s">
        <v>5</v>
      </c>
    </row>
    <row r="5" ht="15.75" customHeight="1"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8"/>
      <c r="H5" s="9"/>
      <c r="J5" s="21" t="s">
        <v>535</v>
      </c>
      <c r="K5" s="21" t="s">
        <v>536</v>
      </c>
      <c r="L5" s="14" t="str">
        <f t="shared" ref="L5:L38" si="1">VLOOKUP(K5,$C$6:$H$39,4,0)</f>
        <v>Código de Actividad</v>
      </c>
      <c r="M5" s="25" t="s">
        <v>537</v>
      </c>
      <c r="N5" s="25" t="s">
        <v>15</v>
      </c>
      <c r="O5" s="28" t="s">
        <v>6</v>
      </c>
    </row>
    <row r="6" ht="15.75" customHeight="1">
      <c r="B6" s="17" t="s">
        <v>268</v>
      </c>
      <c r="C6" s="18" t="s">
        <v>538</v>
      </c>
      <c r="D6" s="18" t="s">
        <v>18</v>
      </c>
      <c r="E6" s="19" t="s">
        <v>19</v>
      </c>
      <c r="F6" s="20" t="str">
        <f t="shared" ref="F6:F39" si="2">VLOOKUP(C6,$M$5:$N$50,2,0)</f>
        <v>Código Origen Centro Asistencial</v>
      </c>
      <c r="G6" s="8"/>
      <c r="H6" s="9"/>
      <c r="J6" s="21" t="s">
        <v>20</v>
      </c>
      <c r="K6" s="21" t="s">
        <v>539</v>
      </c>
      <c r="L6" s="14" t="str">
        <f t="shared" si="1"/>
        <v>Número de Acto Médico</v>
      </c>
      <c r="M6" s="25" t="s">
        <v>540</v>
      </c>
      <c r="N6" s="25" t="s">
        <v>24</v>
      </c>
      <c r="O6" s="28" t="s">
        <v>6</v>
      </c>
    </row>
    <row r="7" ht="15.75" customHeight="1">
      <c r="B7" s="17" t="s">
        <v>268</v>
      </c>
      <c r="C7" s="18" t="s">
        <v>541</v>
      </c>
      <c r="D7" s="18" t="s">
        <v>26</v>
      </c>
      <c r="E7" s="19" t="s">
        <v>19</v>
      </c>
      <c r="F7" s="20" t="str">
        <f t="shared" si="2"/>
        <v>Código Centro Asistencial</v>
      </c>
      <c r="G7" s="8"/>
      <c r="H7" s="9"/>
      <c r="J7" s="21" t="s">
        <v>542</v>
      </c>
      <c r="K7" s="21" t="s">
        <v>543</v>
      </c>
      <c r="L7" s="14" t="str">
        <f t="shared" si="1"/>
        <v>Código Area Hospitalaria</v>
      </c>
      <c r="M7" s="25" t="s">
        <v>544</v>
      </c>
      <c r="N7" s="25" t="s">
        <v>31</v>
      </c>
      <c r="O7" s="28" t="s">
        <v>6</v>
      </c>
    </row>
    <row r="8" ht="15.75" customHeight="1">
      <c r="B8" s="17" t="s">
        <v>268</v>
      </c>
      <c r="C8" s="18" t="s">
        <v>539</v>
      </c>
      <c r="D8" s="18" t="s">
        <v>374</v>
      </c>
      <c r="E8" s="19" t="s">
        <v>19</v>
      </c>
      <c r="F8" s="20" t="str">
        <f t="shared" si="2"/>
        <v>Número de Acto Médico</v>
      </c>
      <c r="G8" s="8"/>
      <c r="H8" s="9"/>
      <c r="J8" s="21" t="s">
        <v>545</v>
      </c>
      <c r="K8" s="21" t="s">
        <v>541</v>
      </c>
      <c r="L8" s="14" t="str">
        <f t="shared" si="1"/>
        <v>Código Centro Asistencial</v>
      </c>
      <c r="M8" s="25" t="s">
        <v>546</v>
      </c>
      <c r="N8" s="25" t="s">
        <v>547</v>
      </c>
      <c r="O8" s="28" t="s">
        <v>6</v>
      </c>
    </row>
    <row r="9" ht="15.75" customHeight="1">
      <c r="B9" s="17" t="s">
        <v>268</v>
      </c>
      <c r="C9" s="18" t="s">
        <v>548</v>
      </c>
      <c r="D9" s="18" t="s">
        <v>412</v>
      </c>
      <c r="E9" s="19" t="s">
        <v>19</v>
      </c>
      <c r="F9" s="20" t="str">
        <f t="shared" si="2"/>
        <v>Número de Secuencia Atención</v>
      </c>
      <c r="G9" s="8"/>
      <c r="H9" s="9"/>
      <c r="J9" s="21" t="s">
        <v>115</v>
      </c>
      <c r="K9" s="21" t="s">
        <v>549</v>
      </c>
      <c r="L9" s="14" t="str">
        <f t="shared" si="1"/>
        <v>Fecha y Hora Registra</v>
      </c>
      <c r="M9" s="25" t="s">
        <v>550</v>
      </c>
      <c r="N9" s="25" t="s">
        <v>551</v>
      </c>
      <c r="O9" s="28" t="s">
        <v>552</v>
      </c>
    </row>
    <row r="10" ht="15.75" customHeight="1">
      <c r="B10" s="17" t="s">
        <v>38</v>
      </c>
      <c r="C10" s="18" t="s">
        <v>553</v>
      </c>
      <c r="D10" s="18" t="s">
        <v>18</v>
      </c>
      <c r="E10" s="19" t="s">
        <v>19</v>
      </c>
      <c r="F10" s="20" t="str">
        <f t="shared" si="2"/>
        <v>Código Origen Centro Asistencial</v>
      </c>
      <c r="G10" s="8"/>
      <c r="H10" s="9"/>
      <c r="J10" s="21" t="s">
        <v>554</v>
      </c>
      <c r="K10" s="21" t="s">
        <v>555</v>
      </c>
      <c r="L10" s="14" t="str">
        <f t="shared" si="1"/>
        <v>Fecha de la Atención</v>
      </c>
      <c r="M10" s="25" t="s">
        <v>556</v>
      </c>
      <c r="N10" s="25" t="s">
        <v>557</v>
      </c>
      <c r="O10" s="28" t="s">
        <v>552</v>
      </c>
    </row>
    <row r="11" ht="15.75" customHeight="1">
      <c r="B11" s="17" t="s">
        <v>38</v>
      </c>
      <c r="C11" s="18" t="s">
        <v>558</v>
      </c>
      <c r="D11" s="18" t="s">
        <v>26</v>
      </c>
      <c r="E11" s="19" t="s">
        <v>19</v>
      </c>
      <c r="F11" s="20" t="str">
        <f t="shared" si="2"/>
        <v>Código Centro Asistencial</v>
      </c>
      <c r="G11" s="8"/>
      <c r="H11" s="9"/>
      <c r="J11" s="21" t="s">
        <v>559</v>
      </c>
      <c r="K11" s="21" t="s">
        <v>560</v>
      </c>
      <c r="L11" s="14" t="str">
        <f t="shared" si="1"/>
        <v>Hora de la Atención</v>
      </c>
      <c r="M11" s="25" t="s">
        <v>561</v>
      </c>
      <c r="N11" s="25" t="s">
        <v>15</v>
      </c>
      <c r="O11" s="28" t="s">
        <v>562</v>
      </c>
    </row>
    <row r="12" ht="15.75" customHeight="1">
      <c r="B12" s="17" t="s">
        <v>38</v>
      </c>
      <c r="C12" s="18" t="s">
        <v>543</v>
      </c>
      <c r="D12" s="18" t="s">
        <v>40</v>
      </c>
      <c r="E12" s="19" t="s">
        <v>19</v>
      </c>
      <c r="F12" s="20" t="str">
        <f t="shared" si="2"/>
        <v>Código Area Hospitalaria</v>
      </c>
      <c r="G12" s="8"/>
      <c r="H12" s="9"/>
      <c r="J12" s="21" t="s">
        <v>141</v>
      </c>
      <c r="K12" s="21" t="s">
        <v>563</v>
      </c>
      <c r="L12" s="14" t="str">
        <f t="shared" si="1"/>
        <v>Fecha y Hora Modifica</v>
      </c>
      <c r="M12" s="25" t="s">
        <v>564</v>
      </c>
      <c r="N12" s="25" t="s">
        <v>24</v>
      </c>
      <c r="O12" s="28" t="s">
        <v>562</v>
      </c>
    </row>
    <row r="13" ht="15.75" customHeight="1">
      <c r="B13" s="17" t="s">
        <v>38</v>
      </c>
      <c r="C13" s="18" t="s">
        <v>565</v>
      </c>
      <c r="D13" s="18" t="s">
        <v>26</v>
      </c>
      <c r="E13" s="19" t="s">
        <v>19</v>
      </c>
      <c r="F13" s="20" t="str">
        <f t="shared" si="2"/>
        <v>Código Servicio Hospitalario</v>
      </c>
      <c r="G13" s="8"/>
      <c r="H13" s="9"/>
      <c r="J13" s="21" t="s">
        <v>566</v>
      </c>
      <c r="K13" s="21" t="s">
        <v>567</v>
      </c>
      <c r="L13" s="14" t="str">
        <f t="shared" si="1"/>
        <v>Número de Secuencia Movimiento del Paciente</v>
      </c>
      <c r="M13" s="25" t="s">
        <v>568</v>
      </c>
      <c r="N13" s="25" t="s">
        <v>37</v>
      </c>
      <c r="O13" s="28" t="s">
        <v>562</v>
      </c>
    </row>
    <row r="14" ht="15.75" customHeight="1">
      <c r="B14" s="17" t="s">
        <v>38</v>
      </c>
      <c r="C14" s="18" t="s">
        <v>536</v>
      </c>
      <c r="D14" s="18" t="s">
        <v>40</v>
      </c>
      <c r="E14" s="19" t="s">
        <v>19</v>
      </c>
      <c r="F14" s="20" t="str">
        <f t="shared" si="2"/>
        <v>Código de Actividad</v>
      </c>
      <c r="G14" s="8"/>
      <c r="H14" s="9"/>
      <c r="J14" s="21" t="s">
        <v>569</v>
      </c>
      <c r="K14" s="21" t="s">
        <v>538</v>
      </c>
      <c r="L14" s="14" t="str">
        <f t="shared" si="1"/>
        <v>Código Origen Centro Asistencial</v>
      </c>
      <c r="M14" s="25" t="s">
        <v>570</v>
      </c>
      <c r="N14" s="25" t="s">
        <v>571</v>
      </c>
      <c r="O14" s="28" t="s">
        <v>562</v>
      </c>
    </row>
    <row r="15" ht="15.75" customHeight="1">
      <c r="B15" s="17" t="s">
        <v>38</v>
      </c>
      <c r="C15" s="18" t="s">
        <v>572</v>
      </c>
      <c r="D15" s="18" t="s">
        <v>18</v>
      </c>
      <c r="E15" s="19" t="s">
        <v>19</v>
      </c>
      <c r="F15" s="20" t="str">
        <f t="shared" si="2"/>
        <v>Código Tipo Documento Identidad Personal</v>
      </c>
      <c r="G15" s="8"/>
      <c r="H15" s="9"/>
      <c r="J15" s="21" t="s">
        <v>71</v>
      </c>
      <c r="K15" s="21" t="s">
        <v>573</v>
      </c>
      <c r="L15" s="14" t="str">
        <f t="shared" si="1"/>
        <v>Número Documento Identidad Personal</v>
      </c>
      <c r="M15" s="25" t="s">
        <v>574</v>
      </c>
      <c r="N15" s="25" t="s">
        <v>575</v>
      </c>
      <c r="O15" s="28" t="s">
        <v>562</v>
      </c>
    </row>
    <row r="16" ht="15.75" customHeight="1">
      <c r="B16" s="17" t="s">
        <v>38</v>
      </c>
      <c r="C16" s="18" t="s">
        <v>573</v>
      </c>
      <c r="D16" s="18" t="s">
        <v>114</v>
      </c>
      <c r="E16" s="19" t="s">
        <v>19</v>
      </c>
      <c r="F16" s="20" t="str">
        <f t="shared" si="2"/>
        <v>Número Documento Identidad Personal</v>
      </c>
      <c r="G16" s="8"/>
      <c r="H16" s="9"/>
      <c r="J16" s="21" t="s">
        <v>480</v>
      </c>
      <c r="K16" s="21" t="s">
        <v>558</v>
      </c>
      <c r="L16" s="14" t="str">
        <f t="shared" si="1"/>
        <v>Código Centro Asistencial</v>
      </c>
      <c r="M16" s="25" t="s">
        <v>576</v>
      </c>
      <c r="N16" s="25" t="s">
        <v>577</v>
      </c>
      <c r="O16" s="28" t="s">
        <v>562</v>
      </c>
    </row>
    <row r="17" ht="15.75" customHeight="1">
      <c r="B17" s="17" t="s">
        <v>38</v>
      </c>
      <c r="C17" s="18" t="s">
        <v>578</v>
      </c>
      <c r="D17" s="18" t="s">
        <v>18</v>
      </c>
      <c r="E17" s="19" t="s">
        <v>19</v>
      </c>
      <c r="F17" s="20" t="str">
        <f t="shared" si="2"/>
        <v>¿Profesional que Atiende está Programado?</v>
      </c>
      <c r="G17" s="8"/>
      <c r="H17" s="9"/>
      <c r="J17" s="21" t="s">
        <v>476</v>
      </c>
      <c r="K17" s="21" t="s">
        <v>553</v>
      </c>
      <c r="L17" s="14" t="str">
        <f t="shared" si="1"/>
        <v>Código Origen Centro Asistencial</v>
      </c>
      <c r="M17" s="25" t="s">
        <v>579</v>
      </c>
      <c r="N17" s="25" t="s">
        <v>580</v>
      </c>
      <c r="O17" s="28" t="s">
        <v>562</v>
      </c>
    </row>
    <row r="18" ht="15.75" customHeight="1">
      <c r="B18" s="17" t="s">
        <v>38</v>
      </c>
      <c r="C18" s="18" t="s">
        <v>581</v>
      </c>
      <c r="D18" s="18" t="s">
        <v>18</v>
      </c>
      <c r="E18" s="19" t="s">
        <v>19</v>
      </c>
      <c r="F18" s="20" t="str">
        <f t="shared" si="2"/>
        <v>Código Prioridad Atención en Emergencia</v>
      </c>
      <c r="G18" s="8"/>
      <c r="H18" s="9"/>
      <c r="J18" s="21" t="s">
        <v>582</v>
      </c>
      <c r="K18" s="21" t="s">
        <v>578</v>
      </c>
      <c r="L18" s="14" t="str">
        <f t="shared" si="1"/>
        <v>¿Profesional que Atiende está Programado?</v>
      </c>
      <c r="M18" s="25" t="s">
        <v>583</v>
      </c>
      <c r="N18" s="25" t="s">
        <v>584</v>
      </c>
      <c r="O18" s="28" t="s">
        <v>562</v>
      </c>
    </row>
    <row r="19" ht="15.75" customHeight="1">
      <c r="B19" s="17" t="s">
        <v>38</v>
      </c>
      <c r="C19" s="18" t="s">
        <v>585</v>
      </c>
      <c r="D19" s="18" t="s">
        <v>40</v>
      </c>
      <c r="E19" s="19" t="s">
        <v>19</v>
      </c>
      <c r="F19" s="20" t="str">
        <f t="shared" si="2"/>
        <v>Código Motivo del Egreso (* ¿ELIMINAR? *) ¡NO! DEBE IR CABECERA-REG.ALTA ADM.</v>
      </c>
      <c r="G19" s="8"/>
      <c r="H19" s="9"/>
      <c r="J19" s="21" t="s">
        <v>586</v>
      </c>
      <c r="K19" s="21" t="s">
        <v>581</v>
      </c>
      <c r="L19" s="14" t="str">
        <f t="shared" si="1"/>
        <v>Código Prioridad Atención en Emergencia</v>
      </c>
      <c r="M19" s="25" t="s">
        <v>587</v>
      </c>
      <c r="N19" s="25" t="s">
        <v>588</v>
      </c>
      <c r="O19" s="28" t="s">
        <v>552</v>
      </c>
    </row>
    <row r="20" ht="15.75" customHeight="1">
      <c r="B20" s="17" t="s">
        <v>38</v>
      </c>
      <c r="C20" s="18" t="s">
        <v>589</v>
      </c>
      <c r="D20" s="18" t="s">
        <v>114</v>
      </c>
      <c r="E20" s="19" t="s">
        <v>19</v>
      </c>
      <c r="F20" s="20" t="str">
        <f t="shared" si="2"/>
        <v>Código de Procedimiento, Examen o Perfil</v>
      </c>
      <c r="G20" s="8"/>
      <c r="H20" s="9"/>
      <c r="J20" s="21" t="s">
        <v>590</v>
      </c>
      <c r="K20" s="21" t="s">
        <v>591</v>
      </c>
      <c r="L20" s="14" t="str">
        <f t="shared" si="1"/>
        <v>Condicion al retiro voluntario</v>
      </c>
      <c r="M20" s="25" t="s">
        <v>592</v>
      </c>
      <c r="N20" s="25" t="s">
        <v>593</v>
      </c>
      <c r="O20" s="28" t="s">
        <v>552</v>
      </c>
    </row>
    <row r="21" ht="15.75" customHeight="1">
      <c r="B21" s="17" t="s">
        <v>38</v>
      </c>
      <c r="C21" s="18" t="s">
        <v>594</v>
      </c>
      <c r="D21" s="18" t="s">
        <v>114</v>
      </c>
      <c r="E21" s="19" t="s">
        <v>19</v>
      </c>
      <c r="F21" s="20" t="str">
        <f t="shared" si="2"/>
        <v>Código Usuario Registra</v>
      </c>
      <c r="G21" s="8"/>
      <c r="H21" s="9"/>
      <c r="J21" s="21" t="s">
        <v>595</v>
      </c>
      <c r="K21" s="21" t="s">
        <v>596</v>
      </c>
      <c r="L21" s="14" t="str">
        <f t="shared" si="1"/>
        <v>Indicador de si ya se subio documento escaneado</v>
      </c>
      <c r="M21" s="25" t="s">
        <v>597</v>
      </c>
      <c r="N21" s="25" t="s">
        <v>598</v>
      </c>
      <c r="O21" s="28" t="s">
        <v>552</v>
      </c>
    </row>
    <row r="22" ht="15.75" customHeight="1">
      <c r="B22" s="17" t="s">
        <v>38</v>
      </c>
      <c r="C22" s="18" t="s">
        <v>549</v>
      </c>
      <c r="D22" s="18" t="s">
        <v>378</v>
      </c>
      <c r="E22" s="19" t="s">
        <v>19</v>
      </c>
      <c r="F22" s="20" t="str">
        <f t="shared" si="2"/>
        <v>Fecha y Hora Registra</v>
      </c>
      <c r="G22" s="8"/>
      <c r="H22" s="9"/>
      <c r="J22" s="21" t="s">
        <v>599</v>
      </c>
      <c r="K22" s="21" t="s">
        <v>600</v>
      </c>
      <c r="L22" s="14" t="str">
        <f t="shared" si="1"/>
        <v>Relacion del responsable con el paciente al retiro voluntario</v>
      </c>
      <c r="M22" s="25" t="s">
        <v>601</v>
      </c>
      <c r="N22" s="25" t="s">
        <v>602</v>
      </c>
      <c r="O22" s="28" t="s">
        <v>562</v>
      </c>
    </row>
    <row r="23" ht="15.75" customHeight="1">
      <c r="B23" s="17" t="s">
        <v>38</v>
      </c>
      <c r="C23" s="18" t="s">
        <v>603</v>
      </c>
      <c r="D23" s="18" t="s">
        <v>114</v>
      </c>
      <c r="E23" s="19" t="s">
        <v>19</v>
      </c>
      <c r="F23" s="20" t="str">
        <f t="shared" si="2"/>
        <v>Código Usuario Modifica</v>
      </c>
      <c r="G23" s="8"/>
      <c r="H23" s="9"/>
      <c r="J23" s="21" t="s">
        <v>604</v>
      </c>
      <c r="K23" s="21" t="s">
        <v>605</v>
      </c>
      <c r="L23" s="14" t="str">
        <f t="shared" si="1"/>
        <v>Nombre responsable al retiro voluntario</v>
      </c>
      <c r="M23" s="25" t="s">
        <v>606</v>
      </c>
      <c r="N23" s="25" t="s">
        <v>112</v>
      </c>
      <c r="O23" s="28" t="s">
        <v>562</v>
      </c>
    </row>
    <row r="24" ht="15.75" customHeight="1">
      <c r="B24" s="17" t="s">
        <v>38</v>
      </c>
      <c r="C24" s="18" t="s">
        <v>563</v>
      </c>
      <c r="D24" s="18" t="s">
        <v>378</v>
      </c>
      <c r="E24" s="19" t="s">
        <v>19</v>
      </c>
      <c r="F24" s="20" t="str">
        <f t="shared" si="2"/>
        <v>Fecha y Hora Modifica</v>
      </c>
      <c r="G24" s="8"/>
      <c r="H24" s="9"/>
      <c r="J24" s="21" t="s">
        <v>607</v>
      </c>
      <c r="K24" s="21" t="s">
        <v>608</v>
      </c>
      <c r="L24" s="14" t="str">
        <f t="shared" si="1"/>
        <v>Num. doc. responsable al retiro voluntario</v>
      </c>
      <c r="M24" s="25" t="s">
        <v>609</v>
      </c>
      <c r="N24" s="25" t="s">
        <v>119</v>
      </c>
      <c r="O24" s="28" t="s">
        <v>562</v>
      </c>
    </row>
    <row r="25" ht="15.75" customHeight="1">
      <c r="B25" s="17" t="s">
        <v>38</v>
      </c>
      <c r="C25" s="18" t="s">
        <v>555</v>
      </c>
      <c r="D25" s="18" t="s">
        <v>378</v>
      </c>
      <c r="E25" s="19" t="s">
        <v>19</v>
      </c>
      <c r="F25" s="20" t="str">
        <f t="shared" si="2"/>
        <v>Fecha de la Atención</v>
      </c>
      <c r="G25" s="8"/>
      <c r="H25" s="9"/>
      <c r="J25" s="21" t="s">
        <v>610</v>
      </c>
      <c r="K25" s="21" t="s">
        <v>611</v>
      </c>
      <c r="L25" s="14" t="str">
        <f t="shared" si="1"/>
        <v>Tip. doc. responsable al retiro voluntario</v>
      </c>
      <c r="M25" s="25" t="s">
        <v>612</v>
      </c>
      <c r="N25" s="25" t="s">
        <v>124</v>
      </c>
      <c r="O25" s="28" t="s">
        <v>552</v>
      </c>
    </row>
    <row r="26" ht="15.75" customHeight="1">
      <c r="B26" s="17" t="s">
        <v>38</v>
      </c>
      <c r="C26" s="18" t="s">
        <v>560</v>
      </c>
      <c r="D26" s="18" t="s">
        <v>58</v>
      </c>
      <c r="E26" s="19" t="s">
        <v>19</v>
      </c>
      <c r="F26" s="20" t="str">
        <f t="shared" si="2"/>
        <v>Hora de la Atención</v>
      </c>
      <c r="G26" s="8"/>
      <c r="H26" s="9"/>
      <c r="J26" s="21" t="s">
        <v>613</v>
      </c>
      <c r="K26" s="21" t="s">
        <v>614</v>
      </c>
      <c r="L26" s="14" t="str">
        <f t="shared" si="1"/>
        <v>Riesgos al retiro voluntario</v>
      </c>
      <c r="M26" s="25" t="s">
        <v>615</v>
      </c>
      <c r="N26" s="25" t="s">
        <v>129</v>
      </c>
      <c r="O26" s="28" t="s">
        <v>552</v>
      </c>
    </row>
    <row r="27" ht="15.75" customHeight="1">
      <c r="B27" s="17" t="s">
        <v>38</v>
      </c>
      <c r="C27" s="18" t="s">
        <v>567</v>
      </c>
      <c r="D27" s="18" t="s">
        <v>438</v>
      </c>
      <c r="E27" s="19" t="s">
        <v>19</v>
      </c>
      <c r="F27" s="20" t="str">
        <f t="shared" si="2"/>
        <v>Número de Secuencia Movimiento del Paciente</v>
      </c>
      <c r="G27" s="8"/>
      <c r="H27" s="9"/>
      <c r="J27" s="21" t="s">
        <v>289</v>
      </c>
      <c r="K27" s="21" t="s">
        <v>548</v>
      </c>
      <c r="L27" s="14" t="str">
        <f t="shared" si="1"/>
        <v>Número de Secuencia Atención</v>
      </c>
      <c r="M27" s="25" t="s">
        <v>616</v>
      </c>
      <c r="N27" s="25" t="s">
        <v>617</v>
      </c>
      <c r="O27" s="28" t="s">
        <v>552</v>
      </c>
    </row>
    <row r="28" ht="15.75" customHeight="1">
      <c r="B28" s="17" t="s">
        <v>38</v>
      </c>
      <c r="C28" s="18" t="s">
        <v>618</v>
      </c>
      <c r="D28" s="18" t="s">
        <v>18</v>
      </c>
      <c r="E28" s="19" t="s">
        <v>19</v>
      </c>
      <c r="F28" s="20" t="str">
        <f t="shared" si="2"/>
        <v>Código Tipo de Atención en Emergencia</v>
      </c>
      <c r="G28" s="8"/>
      <c r="H28" s="9"/>
      <c r="J28" s="21" t="s">
        <v>619</v>
      </c>
      <c r="K28" s="21" t="s">
        <v>565</v>
      </c>
      <c r="L28" s="14" t="str">
        <f t="shared" si="1"/>
        <v>Código Servicio Hospitalario</v>
      </c>
      <c r="M28" s="25" t="s">
        <v>620</v>
      </c>
      <c r="N28" s="25" t="s">
        <v>621</v>
      </c>
      <c r="O28" s="28" t="s">
        <v>552</v>
      </c>
    </row>
    <row r="29" ht="15.75" customHeight="1">
      <c r="B29" s="17" t="s">
        <v>38</v>
      </c>
      <c r="C29" s="26" t="s">
        <v>622</v>
      </c>
      <c r="D29" s="26" t="s">
        <v>374</v>
      </c>
      <c r="E29" s="19" t="s">
        <v>19</v>
      </c>
      <c r="F29" s="20" t="str">
        <f t="shared" si="2"/>
        <v>Número Solicitud de Interconsulta</v>
      </c>
      <c r="G29" s="8"/>
      <c r="H29" s="9"/>
      <c r="J29" s="21" t="s">
        <v>623</v>
      </c>
      <c r="K29" s="21" t="s">
        <v>624</v>
      </c>
      <c r="L29" s="14" t="str">
        <f t="shared" si="1"/>
        <v>Número de Secuencia Registro de Signos Vitales</v>
      </c>
      <c r="M29" s="25" t="s">
        <v>625</v>
      </c>
      <c r="N29" s="25" t="s">
        <v>626</v>
      </c>
      <c r="O29" s="28" t="s">
        <v>552</v>
      </c>
    </row>
    <row r="30" ht="15.75" customHeight="1">
      <c r="B30" s="17" t="s">
        <v>38</v>
      </c>
      <c r="C30" s="26" t="s">
        <v>624</v>
      </c>
      <c r="D30" s="26" t="s">
        <v>627</v>
      </c>
      <c r="E30" s="19" t="s">
        <v>19</v>
      </c>
      <c r="F30" s="20" t="str">
        <f t="shared" si="2"/>
        <v>Número de Secuencia Registro de Signos Vitales</v>
      </c>
      <c r="G30" s="8"/>
      <c r="H30" s="9"/>
      <c r="J30" s="21" t="s">
        <v>628</v>
      </c>
      <c r="K30" s="21" t="s">
        <v>622</v>
      </c>
      <c r="L30" s="14" t="str">
        <f t="shared" si="1"/>
        <v>Número Solicitud de Interconsulta</v>
      </c>
      <c r="M30" s="25" t="s">
        <v>629</v>
      </c>
      <c r="N30" s="25" t="s">
        <v>630</v>
      </c>
      <c r="O30" s="28" t="s">
        <v>552</v>
      </c>
    </row>
    <row r="31" ht="15.75" customHeight="1">
      <c r="B31" s="17" t="s">
        <v>38</v>
      </c>
      <c r="C31" s="26" t="s">
        <v>631</v>
      </c>
      <c r="D31" s="26" t="s">
        <v>40</v>
      </c>
      <c r="E31" s="19" t="s">
        <v>19</v>
      </c>
      <c r="F31" s="20" t="str">
        <f t="shared" si="2"/>
        <v>Código Resultado de la Atención en Emergencia/Hospitalización</v>
      </c>
      <c r="G31" s="8"/>
      <c r="H31" s="9"/>
      <c r="J31" s="21" t="s">
        <v>179</v>
      </c>
      <c r="K31" s="21" t="s">
        <v>632</v>
      </c>
      <c r="L31" s="14" t="str">
        <f t="shared" si="1"/>
        <v>¿Sospechoso Covid19?</v>
      </c>
      <c r="M31" s="25" t="s">
        <v>633</v>
      </c>
      <c r="N31" s="25" t="s">
        <v>634</v>
      </c>
      <c r="O31" s="28" t="s">
        <v>552</v>
      </c>
    </row>
    <row r="32" ht="15.75" customHeight="1">
      <c r="B32" s="17" t="s">
        <v>38</v>
      </c>
      <c r="C32" s="26" t="s">
        <v>632</v>
      </c>
      <c r="D32" s="26" t="s">
        <v>526</v>
      </c>
      <c r="E32" s="19" t="s">
        <v>19</v>
      </c>
      <c r="F32" s="20" t="str">
        <f t="shared" si="2"/>
        <v>¿Sospechoso Covid19?</v>
      </c>
      <c r="G32" s="8"/>
      <c r="H32" s="9"/>
      <c r="J32" s="21" t="s">
        <v>635</v>
      </c>
      <c r="K32" s="21" t="s">
        <v>572</v>
      </c>
      <c r="L32" s="14" t="str">
        <f t="shared" si="1"/>
        <v>Código Tipo Documento Identidad Personal</v>
      </c>
      <c r="M32" s="25" t="s">
        <v>636</v>
      </c>
      <c r="N32" s="25" t="s">
        <v>637</v>
      </c>
      <c r="O32" s="28" t="s">
        <v>552</v>
      </c>
    </row>
    <row r="33" ht="15.75" customHeight="1">
      <c r="B33" s="17" t="s">
        <v>38</v>
      </c>
      <c r="C33" s="26" t="s">
        <v>591</v>
      </c>
      <c r="D33" s="26" t="s">
        <v>638</v>
      </c>
      <c r="E33" s="19" t="s">
        <v>19</v>
      </c>
      <c r="F33" s="20" t="str">
        <f t="shared" si="2"/>
        <v>Condicion al retiro voluntario</v>
      </c>
      <c r="G33" s="8"/>
      <c r="H33" s="9"/>
      <c r="J33" s="21" t="s">
        <v>127</v>
      </c>
      <c r="K33" s="21" t="s">
        <v>594</v>
      </c>
      <c r="L33" s="14" t="str">
        <f t="shared" si="1"/>
        <v>Código Usuario Registra</v>
      </c>
      <c r="M33" s="25" t="s">
        <v>639</v>
      </c>
      <c r="N33" s="25" t="s">
        <v>640</v>
      </c>
      <c r="O33" s="28" t="s">
        <v>552</v>
      </c>
    </row>
    <row r="34" ht="15.75" customHeight="1">
      <c r="B34" s="17" t="s">
        <v>38</v>
      </c>
      <c r="C34" s="26" t="s">
        <v>614</v>
      </c>
      <c r="D34" s="26" t="s">
        <v>638</v>
      </c>
      <c r="E34" s="19" t="s">
        <v>19</v>
      </c>
      <c r="F34" s="20" t="str">
        <f t="shared" si="2"/>
        <v>Riesgos al retiro voluntario</v>
      </c>
      <c r="G34" s="8"/>
      <c r="H34" s="9"/>
      <c r="J34" s="21" t="s">
        <v>137</v>
      </c>
      <c r="K34" s="21" t="s">
        <v>603</v>
      </c>
      <c r="L34" s="14" t="str">
        <f t="shared" si="1"/>
        <v>Código Usuario Modifica</v>
      </c>
      <c r="M34" s="25" t="s">
        <v>641</v>
      </c>
      <c r="N34" s="25" t="s">
        <v>642</v>
      </c>
      <c r="O34" s="28" t="s">
        <v>552</v>
      </c>
    </row>
    <row r="35" ht="15.75" customHeight="1">
      <c r="B35" s="17" t="s">
        <v>38</v>
      </c>
      <c r="C35" s="26" t="s">
        <v>611</v>
      </c>
      <c r="D35" s="26" t="s">
        <v>18</v>
      </c>
      <c r="E35" s="19" t="s">
        <v>19</v>
      </c>
      <c r="F35" s="20" t="str">
        <f t="shared" si="2"/>
        <v>Tip. doc. responsable al retiro voluntario</v>
      </c>
      <c r="G35" s="8"/>
      <c r="H35" s="9"/>
      <c r="J35" s="21" t="s">
        <v>643</v>
      </c>
      <c r="K35" s="21" t="s">
        <v>589</v>
      </c>
      <c r="L35" s="14" t="str">
        <f t="shared" si="1"/>
        <v>Código de Procedimiento, Examen o Perfil</v>
      </c>
      <c r="M35" s="25" t="s">
        <v>644</v>
      </c>
      <c r="N35" s="25" t="s">
        <v>645</v>
      </c>
      <c r="O35" s="28" t="s">
        <v>552</v>
      </c>
    </row>
    <row r="36" ht="15.75" customHeight="1">
      <c r="B36" s="17" t="s">
        <v>38</v>
      </c>
      <c r="C36" s="26" t="s">
        <v>608</v>
      </c>
      <c r="D36" s="26" t="s">
        <v>390</v>
      </c>
      <c r="E36" s="19" t="s">
        <v>19</v>
      </c>
      <c r="F36" s="20" t="str">
        <f t="shared" si="2"/>
        <v>Num. doc. responsable al retiro voluntario</v>
      </c>
      <c r="G36" s="8"/>
      <c r="H36" s="9"/>
      <c r="J36" s="21" t="s">
        <v>147</v>
      </c>
      <c r="K36" s="21" t="s">
        <v>585</v>
      </c>
      <c r="L36" s="14" t="str">
        <f t="shared" si="1"/>
        <v>Código Motivo del Egreso (* ¿ELIMINAR? *) ¡NO! DEBE IR CABECERA-REG.ALTA ADM.</v>
      </c>
      <c r="M36" s="25" t="s">
        <v>646</v>
      </c>
      <c r="N36" s="25" t="s">
        <v>647</v>
      </c>
      <c r="O36" s="28" t="s">
        <v>552</v>
      </c>
    </row>
    <row r="37" ht="15.75" customHeight="1">
      <c r="B37" s="17" t="s">
        <v>38</v>
      </c>
      <c r="C37" s="26" t="s">
        <v>605</v>
      </c>
      <c r="D37" s="26" t="s">
        <v>648</v>
      </c>
      <c r="E37" s="19" t="s">
        <v>19</v>
      </c>
      <c r="F37" s="20" t="str">
        <f t="shared" si="2"/>
        <v>Nombre responsable al retiro voluntario</v>
      </c>
      <c r="G37" s="8"/>
      <c r="H37" s="9"/>
      <c r="J37" s="21" t="s">
        <v>649</v>
      </c>
      <c r="K37" s="21" t="s">
        <v>631</v>
      </c>
      <c r="L37" s="14" t="str">
        <f t="shared" si="1"/>
        <v>Código Resultado de la Atención en Emergencia/Hospitalización</v>
      </c>
      <c r="M37" s="25" t="s">
        <v>650</v>
      </c>
      <c r="N37" s="25" t="s">
        <v>651</v>
      </c>
      <c r="O37" s="28" t="s">
        <v>552</v>
      </c>
    </row>
    <row r="38" ht="15.75" customHeight="1">
      <c r="B38" s="17" t="s">
        <v>38</v>
      </c>
      <c r="C38" s="26" t="s">
        <v>600</v>
      </c>
      <c r="D38" s="26" t="s">
        <v>18</v>
      </c>
      <c r="E38" s="19" t="s">
        <v>19</v>
      </c>
      <c r="F38" s="20" t="str">
        <f t="shared" si="2"/>
        <v>Relacion del responsable con el paciente al retiro voluntario</v>
      </c>
      <c r="G38" s="8"/>
      <c r="H38" s="9"/>
      <c r="J38" s="21" t="s">
        <v>652</v>
      </c>
      <c r="K38" s="21" t="s">
        <v>618</v>
      </c>
      <c r="L38" s="14" t="str">
        <f t="shared" si="1"/>
        <v>Código Tipo de Atención en Emergencia</v>
      </c>
      <c r="M38" s="25" t="s">
        <v>653</v>
      </c>
      <c r="N38" s="25" t="s">
        <v>654</v>
      </c>
      <c r="O38" s="28" t="s">
        <v>552</v>
      </c>
    </row>
    <row r="39" ht="15.75" customHeight="1">
      <c r="B39" s="17" t="s">
        <v>38</v>
      </c>
      <c r="C39" s="26" t="s">
        <v>596</v>
      </c>
      <c r="D39" s="26" t="s">
        <v>213</v>
      </c>
      <c r="E39" s="19" t="s">
        <v>19</v>
      </c>
      <c r="F39" s="20" t="str">
        <f t="shared" si="2"/>
        <v>Indicador de si ya se subio documento escaneado</v>
      </c>
      <c r="G39" s="8"/>
      <c r="H39" s="9"/>
      <c r="J39" s="21" t="s">
        <v>35</v>
      </c>
      <c r="K39" s="21" t="s">
        <v>208</v>
      </c>
      <c r="L39" s="21" t="s">
        <v>209</v>
      </c>
      <c r="M39" s="25" t="s">
        <v>655</v>
      </c>
      <c r="N39" s="25" t="s">
        <v>656</v>
      </c>
      <c r="O39" s="28" t="s">
        <v>552</v>
      </c>
    </row>
    <row r="40" ht="15.75" customHeight="1">
      <c r="J40" s="21" t="s">
        <v>43</v>
      </c>
      <c r="K40" s="21" t="s">
        <v>225</v>
      </c>
      <c r="L40" s="21" t="s">
        <v>339</v>
      </c>
      <c r="M40" s="25" t="s">
        <v>657</v>
      </c>
      <c r="N40" s="25" t="s">
        <v>658</v>
      </c>
      <c r="O40" s="28" t="s">
        <v>552</v>
      </c>
    </row>
    <row r="41" ht="15.75" customHeight="1">
      <c r="J41" s="21" t="s">
        <v>29</v>
      </c>
      <c r="K41" s="21" t="s">
        <v>208</v>
      </c>
      <c r="L41" s="21" t="s">
        <v>342</v>
      </c>
      <c r="M41" s="25" t="s">
        <v>659</v>
      </c>
      <c r="N41" s="25" t="s">
        <v>660</v>
      </c>
      <c r="O41" s="28" t="s">
        <v>552</v>
      </c>
    </row>
    <row r="42" ht="15.75" customHeight="1">
      <c r="J42" s="21" t="s">
        <v>661</v>
      </c>
      <c r="K42" s="21" t="s">
        <v>662</v>
      </c>
      <c r="L42" s="14" t="str">
        <f t="shared" ref="L42:L53" si="3">VLOOKUP(K42,$M$5:$N$55,2,0)</f>
        <v>#N/A</v>
      </c>
      <c r="M42" s="25" t="s">
        <v>663</v>
      </c>
      <c r="N42" s="25" t="s">
        <v>664</v>
      </c>
      <c r="O42" s="28" t="s">
        <v>552</v>
      </c>
    </row>
    <row r="43" ht="15.75" customHeight="1">
      <c r="J43" s="21" t="s">
        <v>181</v>
      </c>
      <c r="K43" s="21" t="s">
        <v>490</v>
      </c>
      <c r="L43" s="14" t="str">
        <f t="shared" si="3"/>
        <v>#N/A</v>
      </c>
      <c r="M43" s="25" t="s">
        <v>665</v>
      </c>
      <c r="N43" s="25" t="s">
        <v>666</v>
      </c>
      <c r="O43" s="28" t="s">
        <v>552</v>
      </c>
    </row>
    <row r="44" ht="15.75" customHeight="1">
      <c r="J44" s="21" t="s">
        <v>667</v>
      </c>
      <c r="K44" s="21" t="s">
        <v>668</v>
      </c>
      <c r="L44" s="14" t="str">
        <f t="shared" si="3"/>
        <v>#N/A</v>
      </c>
      <c r="M44" s="29" t="s">
        <v>669</v>
      </c>
      <c r="N44" s="29" t="s">
        <v>670</v>
      </c>
      <c r="O44" s="30" t="s">
        <v>671</v>
      </c>
    </row>
    <row r="45" ht="15.75" customHeight="1">
      <c r="J45" s="21" t="s">
        <v>672</v>
      </c>
      <c r="K45" s="21" t="s">
        <v>673</v>
      </c>
      <c r="L45" s="14" t="str">
        <f t="shared" si="3"/>
        <v>#N/A</v>
      </c>
      <c r="M45" s="29" t="s">
        <v>674</v>
      </c>
      <c r="N45" s="29" t="s">
        <v>675</v>
      </c>
      <c r="O45" s="30" t="s">
        <v>671</v>
      </c>
    </row>
    <row r="46" ht="15.75" customHeight="1">
      <c r="J46" s="21" t="s">
        <v>464</v>
      </c>
      <c r="K46" s="21" t="s">
        <v>676</v>
      </c>
      <c r="L46" s="14" t="str">
        <f t="shared" si="3"/>
        <v>#N/A</v>
      </c>
      <c r="M46" s="29" t="s">
        <v>677</v>
      </c>
      <c r="N46" s="29" t="s">
        <v>678</v>
      </c>
      <c r="O46" s="30" t="s">
        <v>671</v>
      </c>
    </row>
    <row r="47" ht="15.75" customHeight="1">
      <c r="J47" s="21" t="s">
        <v>679</v>
      </c>
      <c r="K47" s="21" t="s">
        <v>680</v>
      </c>
      <c r="L47" s="14" t="str">
        <f t="shared" si="3"/>
        <v>#N/A</v>
      </c>
      <c r="M47" s="29" t="s">
        <v>681</v>
      </c>
      <c r="N47" s="29" t="s">
        <v>682</v>
      </c>
      <c r="O47" s="30" t="s">
        <v>671</v>
      </c>
    </row>
    <row r="48" ht="15.75" customHeight="1">
      <c r="J48" s="21" t="s">
        <v>683</v>
      </c>
      <c r="K48" s="21" t="s">
        <v>684</v>
      </c>
      <c r="L48" s="14" t="str">
        <f t="shared" si="3"/>
        <v>#N/A</v>
      </c>
      <c r="M48" s="29" t="s">
        <v>685</v>
      </c>
      <c r="N48" s="29" t="s">
        <v>686</v>
      </c>
      <c r="O48" s="30" t="s">
        <v>687</v>
      </c>
    </row>
    <row r="49" ht="15.75" customHeight="1">
      <c r="J49" s="21" t="s">
        <v>688</v>
      </c>
      <c r="K49" s="21" t="s">
        <v>689</v>
      </c>
      <c r="L49" s="14" t="str">
        <f t="shared" si="3"/>
        <v>#N/A</v>
      </c>
      <c r="M49" s="29" t="s">
        <v>690</v>
      </c>
      <c r="N49" s="29" t="s">
        <v>283</v>
      </c>
      <c r="O49" s="30" t="s">
        <v>687</v>
      </c>
    </row>
    <row r="50" ht="15.75" customHeight="1">
      <c r="J50" s="21" t="s">
        <v>691</v>
      </c>
      <c r="K50" s="21" t="s">
        <v>692</v>
      </c>
      <c r="L50" s="14" t="str">
        <f t="shared" si="3"/>
        <v>#N/A</v>
      </c>
      <c r="M50" s="29" t="s">
        <v>693</v>
      </c>
      <c r="N50" s="29" t="s">
        <v>694</v>
      </c>
      <c r="O50" s="30" t="s">
        <v>671</v>
      </c>
    </row>
    <row r="51" ht="15.75" customHeight="1">
      <c r="J51" s="21" t="s">
        <v>695</v>
      </c>
      <c r="K51" s="21" t="s">
        <v>696</v>
      </c>
      <c r="L51" s="14" t="str">
        <f t="shared" si="3"/>
        <v>#N/A</v>
      </c>
    </row>
    <row r="52" ht="15.75" customHeight="1">
      <c r="J52" s="21" t="s">
        <v>697</v>
      </c>
      <c r="K52" s="21" t="s">
        <v>696</v>
      </c>
      <c r="L52" s="14" t="str">
        <f t="shared" si="3"/>
        <v>#N/A</v>
      </c>
    </row>
    <row r="53" ht="15.75" customHeight="1">
      <c r="J53" s="21" t="s">
        <v>160</v>
      </c>
      <c r="K53" s="21" t="s">
        <v>696</v>
      </c>
      <c r="L53" s="14" t="str">
        <f t="shared" si="3"/>
        <v>#N/A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36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2:H32"/>
    <mergeCell ref="F33:H33"/>
    <mergeCell ref="F34:H34"/>
    <mergeCell ref="F35:H35"/>
    <mergeCell ref="F36:H36"/>
    <mergeCell ref="F37:H37"/>
    <mergeCell ref="F38:H38"/>
    <mergeCell ref="F39:H39"/>
    <mergeCell ref="F25:H25"/>
    <mergeCell ref="F26:H26"/>
    <mergeCell ref="F27:H27"/>
    <mergeCell ref="F28:H28"/>
    <mergeCell ref="F29:H29"/>
    <mergeCell ref="F30:H30"/>
    <mergeCell ref="F31:H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>
      <c r="D1" s="1"/>
    </row>
    <row r="2" ht="15.75" customHeight="1">
      <c r="D2" s="1"/>
      <c r="J2" s="23"/>
    </row>
    <row r="3" ht="15.75" customHeight="1">
      <c r="B3" s="2" t="s">
        <v>0</v>
      </c>
      <c r="C3" s="3" t="s">
        <v>698</v>
      </c>
      <c r="D3" s="4"/>
      <c r="E3" s="5"/>
      <c r="F3" s="5"/>
      <c r="G3" s="5"/>
      <c r="H3" s="6"/>
    </row>
    <row r="4" ht="15.75" customHeight="1">
      <c r="B4" s="7" t="s">
        <v>699</v>
      </c>
      <c r="C4" s="8"/>
      <c r="D4" s="8"/>
      <c r="E4" s="8"/>
      <c r="F4" s="8"/>
      <c r="G4" s="8"/>
      <c r="H4" s="9"/>
      <c r="J4" s="10" t="s">
        <v>3</v>
      </c>
      <c r="K4" s="10" t="s">
        <v>4</v>
      </c>
      <c r="L4" s="10" t="s">
        <v>5</v>
      </c>
    </row>
    <row r="5" ht="15.75" customHeight="1"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8"/>
      <c r="H5" s="9"/>
      <c r="J5" s="24" t="s">
        <v>20</v>
      </c>
      <c r="K5" s="24" t="s">
        <v>539</v>
      </c>
      <c r="L5" s="14" t="str">
        <f t="shared" ref="L5:L12" si="1">VLOOKUP(K5,$C$6:$H$39,4,0)</f>
        <v>Número de Acto Médico</v>
      </c>
      <c r="M5" s="31" t="s">
        <v>537</v>
      </c>
      <c r="N5" s="31" t="s">
        <v>15</v>
      </c>
      <c r="O5" s="32" t="s">
        <v>6</v>
      </c>
    </row>
    <row r="6" ht="15.75" customHeight="1">
      <c r="B6" s="17" t="s">
        <v>268</v>
      </c>
      <c r="C6" s="18" t="s">
        <v>538</v>
      </c>
      <c r="D6" s="17" t="s">
        <v>18</v>
      </c>
      <c r="E6" s="19" t="s">
        <v>19</v>
      </c>
      <c r="F6" s="20" t="str">
        <f t="shared" ref="F6:F13" si="2">VLOOKUP(C6,$M$5:$O$50,2,0)</f>
        <v>Código Origen Centro Asistencial</v>
      </c>
      <c r="G6" s="8"/>
      <c r="H6" s="9"/>
      <c r="J6" s="24" t="s">
        <v>22</v>
      </c>
      <c r="K6" s="24" t="s">
        <v>540</v>
      </c>
      <c r="L6" s="14" t="str">
        <f t="shared" si="1"/>
        <v>Código Centro Asistencial</v>
      </c>
      <c r="M6" s="31" t="s">
        <v>540</v>
      </c>
      <c r="N6" s="31" t="s">
        <v>24</v>
      </c>
      <c r="O6" s="32" t="s">
        <v>6</v>
      </c>
    </row>
    <row r="7" ht="15.75" customHeight="1">
      <c r="B7" s="17" t="s">
        <v>268</v>
      </c>
      <c r="C7" s="18" t="s">
        <v>541</v>
      </c>
      <c r="D7" s="17" t="s">
        <v>26</v>
      </c>
      <c r="E7" s="19" t="s">
        <v>19</v>
      </c>
      <c r="F7" s="20" t="str">
        <f t="shared" si="2"/>
        <v>Código Centro Asistencial</v>
      </c>
      <c r="G7" s="8"/>
      <c r="H7" s="9"/>
      <c r="J7" s="24" t="s">
        <v>700</v>
      </c>
      <c r="K7" s="24" t="s">
        <v>554</v>
      </c>
      <c r="L7" s="14" t="str">
        <f t="shared" si="1"/>
        <v>#N/A</v>
      </c>
      <c r="M7" s="31" t="s">
        <v>544</v>
      </c>
      <c r="N7" s="31" t="s">
        <v>31</v>
      </c>
      <c r="O7" s="32" t="s">
        <v>6</v>
      </c>
    </row>
    <row r="8" ht="15.75" customHeight="1">
      <c r="B8" s="17" t="s">
        <v>268</v>
      </c>
      <c r="C8" s="18" t="s">
        <v>539</v>
      </c>
      <c r="D8" s="17" t="s">
        <v>374</v>
      </c>
      <c r="E8" s="19" t="s">
        <v>19</v>
      </c>
      <c r="F8" s="20" t="str">
        <f t="shared" si="2"/>
        <v>Número de Acto Médico</v>
      </c>
      <c r="G8" s="8"/>
      <c r="H8" s="9"/>
      <c r="J8" s="24" t="s">
        <v>701</v>
      </c>
      <c r="K8" s="24" t="s">
        <v>559</v>
      </c>
      <c r="L8" s="14" t="str">
        <f t="shared" si="1"/>
        <v>#N/A</v>
      </c>
      <c r="M8" s="31" t="s">
        <v>546</v>
      </c>
      <c r="N8" s="31" t="s">
        <v>547</v>
      </c>
      <c r="O8" s="32" t="s">
        <v>6</v>
      </c>
    </row>
    <row r="9" ht="15.75" customHeight="1">
      <c r="B9" s="17" t="s">
        <v>268</v>
      </c>
      <c r="C9" s="18" t="s">
        <v>548</v>
      </c>
      <c r="D9" s="17" t="s">
        <v>412</v>
      </c>
      <c r="E9" s="19" t="s">
        <v>19</v>
      </c>
      <c r="F9" s="20" t="str">
        <f t="shared" si="2"/>
        <v>Número de Secuencia Atención</v>
      </c>
      <c r="G9" s="8"/>
      <c r="H9" s="9"/>
      <c r="J9" s="24" t="s">
        <v>269</v>
      </c>
      <c r="K9" s="24" t="s">
        <v>569</v>
      </c>
      <c r="L9" s="14" t="str">
        <f t="shared" si="1"/>
        <v>#N/A</v>
      </c>
      <c r="M9" s="31" t="s">
        <v>702</v>
      </c>
      <c r="N9" s="31" t="s">
        <v>703</v>
      </c>
      <c r="O9" s="32" t="s">
        <v>6</v>
      </c>
    </row>
    <row r="10" ht="15.75" customHeight="1">
      <c r="B10" s="17" t="s">
        <v>268</v>
      </c>
      <c r="C10" s="18" t="s">
        <v>704</v>
      </c>
      <c r="D10" s="17" t="s">
        <v>18</v>
      </c>
      <c r="E10" s="19" t="s">
        <v>19</v>
      </c>
      <c r="F10" s="20" t="str">
        <f t="shared" si="2"/>
        <v>Código Condición Diagnóstico</v>
      </c>
      <c r="G10" s="8"/>
      <c r="H10" s="9"/>
      <c r="J10" s="24" t="s">
        <v>705</v>
      </c>
      <c r="K10" s="24" t="s">
        <v>706</v>
      </c>
      <c r="L10" s="14" t="str">
        <f t="shared" si="1"/>
        <v>#N/A</v>
      </c>
      <c r="M10" s="31" t="s">
        <v>707</v>
      </c>
      <c r="N10" s="31" t="s">
        <v>708</v>
      </c>
      <c r="O10" s="32" t="s">
        <v>6</v>
      </c>
    </row>
    <row r="11" ht="15.75" customHeight="1">
      <c r="B11" s="17" t="s">
        <v>268</v>
      </c>
      <c r="C11" s="18" t="s">
        <v>709</v>
      </c>
      <c r="D11" s="17" t="s">
        <v>199</v>
      </c>
      <c r="E11" s="19" t="s">
        <v>19</v>
      </c>
      <c r="F11" s="20" t="str">
        <f t="shared" si="2"/>
        <v>Código Diagnóstico</v>
      </c>
      <c r="G11" s="8"/>
      <c r="H11" s="9"/>
      <c r="J11" s="24" t="s">
        <v>710</v>
      </c>
      <c r="K11" s="24" t="s">
        <v>711</v>
      </c>
      <c r="L11" s="14" t="str">
        <f t="shared" si="1"/>
        <v>Número de Orden del Diagnóstico</v>
      </c>
      <c r="M11" s="31" t="s">
        <v>712</v>
      </c>
      <c r="N11" s="31" t="s">
        <v>713</v>
      </c>
      <c r="O11" s="32" t="s">
        <v>562</v>
      </c>
    </row>
    <row r="12" ht="15.75" customHeight="1">
      <c r="B12" s="17" t="s">
        <v>38</v>
      </c>
      <c r="C12" s="18" t="s">
        <v>711</v>
      </c>
      <c r="D12" s="17" t="s">
        <v>438</v>
      </c>
      <c r="E12" s="19" t="s">
        <v>19</v>
      </c>
      <c r="F12" s="20" t="str">
        <f t="shared" si="2"/>
        <v>Número de Orden del Diagnóstico</v>
      </c>
      <c r="G12" s="8"/>
      <c r="H12" s="9"/>
      <c r="J12" s="24" t="s">
        <v>714</v>
      </c>
      <c r="K12" s="24" t="s">
        <v>715</v>
      </c>
      <c r="L12" s="14" t="str">
        <f t="shared" si="1"/>
        <v>Código Tipo Diagnóstico</v>
      </c>
      <c r="M12" s="31" t="s">
        <v>716</v>
      </c>
      <c r="N12" s="31" t="s">
        <v>717</v>
      </c>
      <c r="O12" s="32" t="s">
        <v>562</v>
      </c>
    </row>
    <row r="13" ht="15.75" customHeight="1">
      <c r="B13" s="17" t="s">
        <v>38</v>
      </c>
      <c r="C13" s="18" t="s">
        <v>715</v>
      </c>
      <c r="D13" s="17" t="s">
        <v>18</v>
      </c>
      <c r="E13" s="19" t="s">
        <v>19</v>
      </c>
      <c r="F13" s="20" t="str">
        <f t="shared" si="2"/>
        <v>Código Tipo Diagnóstico</v>
      </c>
      <c r="G13" s="8"/>
      <c r="H13" s="9"/>
      <c r="J13" s="24" t="s">
        <v>35</v>
      </c>
      <c r="K13" s="24" t="s">
        <v>35</v>
      </c>
      <c r="L13" s="21" t="s">
        <v>209</v>
      </c>
      <c r="M13" s="33" t="s">
        <v>718</v>
      </c>
      <c r="N13" s="33" t="s">
        <v>719</v>
      </c>
      <c r="O13" s="34" t="s">
        <v>671</v>
      </c>
    </row>
    <row r="14" ht="15.75" customHeight="1">
      <c r="B14" s="17" t="s">
        <v>38</v>
      </c>
      <c r="C14" s="18" t="s">
        <v>700</v>
      </c>
      <c r="D14" s="17" t="s">
        <v>52</v>
      </c>
      <c r="E14" s="19" t="s">
        <v>19</v>
      </c>
      <c r="F14" s="35" t="s">
        <v>617</v>
      </c>
      <c r="G14" s="8"/>
      <c r="H14" s="9"/>
      <c r="J14" s="24" t="s">
        <v>720</v>
      </c>
      <c r="K14" s="24" t="s">
        <v>704</v>
      </c>
      <c r="L14" s="14" t="str">
        <f t="shared" ref="L14:L27" si="3">VLOOKUP(K14,$C$6:$H$39,4,0)</f>
        <v>Código Condición Diagnóstico</v>
      </c>
    </row>
    <row r="15" ht="15.75" customHeight="1">
      <c r="B15" s="17" t="s">
        <v>38</v>
      </c>
      <c r="C15" s="18" t="s">
        <v>701</v>
      </c>
      <c r="D15" s="17" t="s">
        <v>721</v>
      </c>
      <c r="E15" s="19" t="s">
        <v>19</v>
      </c>
      <c r="F15" s="35" t="s">
        <v>621</v>
      </c>
      <c r="G15" s="8"/>
      <c r="H15" s="9"/>
      <c r="J15" s="24" t="s">
        <v>29</v>
      </c>
      <c r="K15" s="24" t="s">
        <v>29</v>
      </c>
      <c r="L15" s="14" t="str">
        <f t="shared" si="3"/>
        <v>#N/A</v>
      </c>
    </row>
    <row r="16" ht="15.75" customHeight="1">
      <c r="B16" s="19"/>
      <c r="C16" s="36"/>
      <c r="D16" s="19"/>
      <c r="E16" s="19"/>
      <c r="F16" s="20"/>
      <c r="G16" s="8"/>
      <c r="H16" s="9"/>
      <c r="J16" s="24" t="s">
        <v>43</v>
      </c>
      <c r="K16" s="24" t="s">
        <v>43</v>
      </c>
      <c r="L16" s="14" t="str">
        <f t="shared" si="3"/>
        <v>#N/A</v>
      </c>
    </row>
    <row r="17" ht="15.75" customHeight="1">
      <c r="B17" s="19"/>
      <c r="C17" s="36"/>
      <c r="D17" s="19"/>
      <c r="E17" s="19"/>
      <c r="F17" s="20"/>
      <c r="G17" s="8"/>
      <c r="H17" s="9"/>
      <c r="J17" s="24" t="s">
        <v>722</v>
      </c>
      <c r="K17" s="24" t="s">
        <v>709</v>
      </c>
      <c r="L17" s="14" t="str">
        <f t="shared" si="3"/>
        <v>Código Diagnóstico</v>
      </c>
    </row>
    <row r="18" ht="15.75" customHeight="1">
      <c r="B18" s="19"/>
      <c r="C18" s="36"/>
      <c r="D18" s="19"/>
      <c r="E18" s="19"/>
      <c r="F18" s="20"/>
      <c r="G18" s="8"/>
      <c r="H18" s="9"/>
      <c r="J18" s="24" t="s">
        <v>221</v>
      </c>
      <c r="K18" s="24" t="s">
        <v>723</v>
      </c>
      <c r="L18" s="14" t="str">
        <f t="shared" si="3"/>
        <v>#N/A</v>
      </c>
    </row>
    <row r="19" ht="15.75" customHeight="1">
      <c r="B19" s="19"/>
      <c r="C19" s="36"/>
      <c r="D19" s="19"/>
      <c r="E19" s="19"/>
      <c r="F19" s="20"/>
      <c r="G19" s="8"/>
      <c r="H19" s="9"/>
      <c r="J19" s="24" t="s">
        <v>347</v>
      </c>
      <c r="K19" s="24" t="s">
        <v>724</v>
      </c>
      <c r="L19" s="14" t="str">
        <f t="shared" si="3"/>
        <v>#N/A</v>
      </c>
    </row>
    <row r="20" ht="15.75" customHeight="1">
      <c r="B20" s="19"/>
      <c r="C20" s="36"/>
      <c r="D20" s="19"/>
      <c r="E20" s="19"/>
      <c r="F20" s="20"/>
      <c r="G20" s="8"/>
      <c r="H20" s="9"/>
      <c r="J20" s="24" t="s">
        <v>160</v>
      </c>
      <c r="K20" s="24" t="s">
        <v>725</v>
      </c>
      <c r="L20" s="14" t="str">
        <f t="shared" si="3"/>
        <v>#N/A</v>
      </c>
    </row>
    <row r="21" ht="15.75" customHeight="1">
      <c r="B21" s="19"/>
      <c r="C21" s="36"/>
      <c r="D21" s="19"/>
      <c r="E21" s="19"/>
      <c r="F21" s="20"/>
      <c r="G21" s="8"/>
      <c r="H21" s="9"/>
      <c r="J21" s="24" t="s">
        <v>726</v>
      </c>
      <c r="K21" s="24" t="s">
        <v>727</v>
      </c>
      <c r="L21" s="14" t="str">
        <f t="shared" si="3"/>
        <v>#N/A</v>
      </c>
    </row>
    <row r="22" ht="15.75" customHeight="1">
      <c r="B22" s="19"/>
      <c r="C22" s="36"/>
      <c r="D22" s="19"/>
      <c r="E22" s="19"/>
      <c r="F22" s="20"/>
      <c r="G22" s="8"/>
      <c r="H22" s="9"/>
      <c r="J22" s="24" t="s">
        <v>136</v>
      </c>
      <c r="K22" s="24" t="s">
        <v>725</v>
      </c>
      <c r="L22" s="14" t="str">
        <f t="shared" si="3"/>
        <v>#N/A</v>
      </c>
    </row>
    <row r="23" ht="15.75" customHeight="1">
      <c r="D23" s="1"/>
      <c r="J23" s="24" t="s">
        <v>728</v>
      </c>
      <c r="K23" s="24" t="s">
        <v>586</v>
      </c>
      <c r="L23" s="14" t="str">
        <f t="shared" si="3"/>
        <v>#N/A</v>
      </c>
    </row>
    <row r="24" ht="15.75" customHeight="1">
      <c r="D24" s="1"/>
      <c r="J24" s="24" t="s">
        <v>729</v>
      </c>
      <c r="K24" s="24" t="s">
        <v>730</v>
      </c>
      <c r="L24" s="14" t="str">
        <f t="shared" si="3"/>
        <v>#N/A</v>
      </c>
    </row>
    <row r="25" ht="15.75" customHeight="1">
      <c r="D25" s="1"/>
      <c r="J25" s="24" t="s">
        <v>289</v>
      </c>
      <c r="K25" s="24" t="s">
        <v>289</v>
      </c>
      <c r="L25" s="14" t="str">
        <f t="shared" si="3"/>
        <v>#N/A</v>
      </c>
    </row>
    <row r="26" ht="15.75" customHeight="1">
      <c r="D26" s="1"/>
      <c r="J26" s="24" t="s">
        <v>285</v>
      </c>
      <c r="K26" s="24" t="s">
        <v>725</v>
      </c>
      <c r="L26" s="14" t="str">
        <f t="shared" si="3"/>
        <v>#N/A</v>
      </c>
    </row>
    <row r="27" ht="15.75" customHeight="1">
      <c r="D27" s="1"/>
      <c r="J27" s="24" t="s">
        <v>731</v>
      </c>
      <c r="K27" s="24" t="s">
        <v>732</v>
      </c>
      <c r="L27" s="14" t="str">
        <f t="shared" si="3"/>
        <v>#N/A</v>
      </c>
    </row>
    <row r="28" ht="15.75" customHeight="1">
      <c r="D28" s="1"/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</sheetData>
  <mergeCells count="24">
    <mergeCell ref="F25:H25"/>
    <mergeCell ref="F26:H26"/>
    <mergeCell ref="F27:H27"/>
    <mergeCell ref="F18:H18"/>
    <mergeCell ref="F19:H19"/>
    <mergeCell ref="F20:H20"/>
    <mergeCell ref="F21:H21"/>
    <mergeCell ref="F22:H22"/>
    <mergeCell ref="F23:H23"/>
    <mergeCell ref="F24:H24"/>
    <mergeCell ref="F5:H5"/>
    <mergeCell ref="B4:H4"/>
    <mergeCell ref="F14:H14"/>
    <mergeCell ref="F15:H15"/>
    <mergeCell ref="F13:H13"/>
    <mergeCell ref="F12:H12"/>
    <mergeCell ref="F16:H16"/>
    <mergeCell ref="F17:H17"/>
    <mergeCell ref="F10:H10"/>
    <mergeCell ref="F9:H9"/>
    <mergeCell ref="F8:H8"/>
    <mergeCell ref="F7:H7"/>
    <mergeCell ref="F6:H6"/>
    <mergeCell ref="F11:H11"/>
  </mergeCells>
  <drawing r:id="rId1"/>
</worksheet>
</file>